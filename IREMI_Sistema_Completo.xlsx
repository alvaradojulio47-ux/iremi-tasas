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276" windowHeight="13276" tabRatio="500" firstSheet="5" activeTab="8" autoFilterDateGrouping="1"/>
  </bookViews>
  <sheets>
    <sheet name="📊 Resumen" sheetId="1" state="visible" r:id="rId1"/>
    <sheet name="Agosto 2025" sheetId="2" state="visible" r:id="rId2"/>
    <sheet name="Septiembre 2025" sheetId="3" state="visible" r:id="rId3"/>
    <sheet name="Octubre 2025" sheetId="4" state="visible" r:id="rId4"/>
    <sheet name="Noviembre 2025" sheetId="5" state="visible" r:id="rId5"/>
    <sheet name="Diciembre 2025" sheetId="6" state="visible" r:id="rId6"/>
    <sheet name="Enero 2026" sheetId="7" state="visible" r:id="rId7"/>
    <sheet name="Febrero 2026" sheetId="8" state="visible" r:id="rId8"/>
    <sheet name="Marzo 2026" sheetId="9" state="visible" r:id="rId9"/>
    <sheet name="Abril 2026" sheetId="10" state="visible" r:id="rId10"/>
    <sheet name="💰 Gastos" sheetId="11" state="visible" r:id="rId11"/>
    <sheet name="⚙ Config" sheetId="12" state="visible" r:id="rId1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\$#,##0"/>
    <numFmt numFmtId="165" formatCode="dd/mm/yy"/>
    <numFmt numFmtId="166" formatCode="#,##0.000"/>
    <numFmt numFmtId="167" formatCode="0.000000"/>
    <numFmt numFmtId="168" formatCode="#,##0.000000"/>
    <numFmt numFmtId="169" formatCode="\$#,##0.00"/>
  </numFmts>
  <fonts count="25">
    <font>
      <name val="Calibri"/>
      <charset val="1"/>
      <family val="2"/>
      <color theme="1"/>
      <sz val="11"/>
    </font>
    <font>
      <name val="Arial"/>
      <charset val="1"/>
      <b val="1"/>
      <color rgb="FFF5C518"/>
      <sz val="16"/>
    </font>
    <font>
      <name val="Arial"/>
      <charset val="1"/>
      <b val="1"/>
      <color rgb="FF0A1628"/>
      <sz val="9"/>
    </font>
    <font>
      <name val="Arial"/>
      <charset val="1"/>
      <color rgb="FFFFFFFF"/>
      <sz val="10"/>
    </font>
    <font>
      <name val="Arial"/>
      <charset val="1"/>
      <b val="1"/>
      <color rgb="FFF5C518"/>
      <sz val="10"/>
    </font>
    <font>
      <name val="Arial"/>
      <charset val="1"/>
      <b val="1"/>
      <color rgb="FF0A1628"/>
      <sz val="11"/>
    </font>
    <font>
      <name val="Arial"/>
      <charset val="1"/>
      <b val="1"/>
      <color rgb="FFF5C518"/>
      <sz val="12"/>
    </font>
    <font>
      <name val="Arial"/>
      <charset val="1"/>
      <color rgb="FFC8D6E5"/>
      <sz val="9"/>
    </font>
    <font>
      <name val="Arial"/>
      <charset val="1"/>
      <b val="1"/>
      <color rgb="FFF97316"/>
      <sz val="9"/>
    </font>
    <font>
      <name val="Arial"/>
      <charset val="1"/>
      <b val="1"/>
      <color rgb="FFC8D6E5"/>
      <sz val="9"/>
    </font>
    <font>
      <name val="Arial"/>
      <charset val="1"/>
      <b val="1"/>
      <color rgb="FFF5C518"/>
      <sz val="9"/>
    </font>
    <font>
      <name val="Arial"/>
      <charset val="1"/>
      <color rgb="FFFFFFFF"/>
      <sz val="9"/>
    </font>
    <font>
      <name val="Arial"/>
      <charset val="1"/>
      <b val="1"/>
      <color rgb="FF4ADE80"/>
      <sz val="9"/>
    </font>
    <font>
      <name val="Arial"/>
      <charset val="1"/>
      <b val="1"/>
      <color rgb="FF0A1628"/>
      <sz val="10"/>
    </font>
    <font>
      <name val="Arial"/>
      <charset val="1"/>
      <b val="1"/>
      <color rgb="FFF5C518"/>
      <sz val="11"/>
    </font>
    <font>
      <name val="Arial"/>
      <charset val="1"/>
      <b val="1"/>
      <color rgb="FFF5C518"/>
      <sz val="13"/>
    </font>
    <font>
      <name val="Arial"/>
      <charset val="1"/>
      <b val="1"/>
      <color rgb="FFEF4444"/>
      <sz val="9"/>
    </font>
    <font>
      <name val="Arial"/>
      <charset val="1"/>
      <color rgb="FFC8D6E5"/>
      <sz val="10"/>
    </font>
    <font>
      <name val="Arial"/>
      <charset val="1"/>
      <color rgb="FFF5C518"/>
      <sz val="10"/>
    </font>
    <font>
      <name val="Arial"/>
      <charset val="1"/>
      <b val="1"/>
      <color rgb="FF060E1A"/>
      <sz val="11"/>
    </font>
    <font>
      <name val="Arial"/>
      <charset val="1"/>
      <color rgb="FF666666"/>
      <sz val="9"/>
    </font>
    <font>
      <name val="Arial"/>
      <charset val="1"/>
      <color rgb="FF4ADE80"/>
      <sz val="10"/>
    </font>
    <font>
      <name val="Arial"/>
      <color rgb="FFFFFFFF"/>
      <sz val="9"/>
    </font>
    <font>
      <name val="Arial"/>
      <b val="1"/>
      <color rgb="FF4ADE80"/>
      <sz val="9"/>
    </font>
    <font>
      <name val="Arial"/>
      <b val="1"/>
      <color rgb="FFF5C518"/>
      <sz val="9"/>
    </font>
  </fonts>
  <fills count="9">
    <fill>
      <patternFill/>
    </fill>
    <fill>
      <patternFill patternType="gray125"/>
    </fill>
    <fill>
      <patternFill patternType="solid">
        <fgColor rgb="FF0A1628"/>
        <bgColor rgb="FF060E1A"/>
      </patternFill>
    </fill>
    <fill>
      <patternFill patternType="solid">
        <fgColor rgb="FFF5C518"/>
        <bgColor rgb="FFFF9900"/>
      </patternFill>
    </fill>
    <fill>
      <patternFill patternType="solid">
        <fgColor rgb="FF0D1F3C"/>
        <bgColor rgb="FF0A1628"/>
      </patternFill>
    </fill>
    <fill>
      <patternFill patternType="solid">
        <fgColor rgb="FF060E1A"/>
        <bgColor rgb="FF0A1628"/>
      </patternFill>
    </fill>
    <fill>
      <patternFill patternType="solid">
        <fgColor rgb="FF0039A6"/>
        <bgColor rgb="FF333399"/>
      </patternFill>
    </fill>
    <fill>
      <patternFill patternType="solid">
        <fgColor rgb="FF0D1F3C"/>
      </patternFill>
    </fill>
    <fill>
      <patternFill patternType="solid">
        <fgColor rgb="FF060E1A"/>
      </patternFill>
    </fill>
  </fills>
  <borders count="4">
    <border>
      <left/>
      <right/>
      <top/>
      <bottom/>
      <diagonal/>
    </border>
    <border>
      <left style="thin">
        <color rgb="FF0A1628"/>
      </left>
      <right style="thin">
        <color rgb="FF0A1628"/>
      </right>
      <top style="thin">
        <color rgb="FF0A1628"/>
      </top>
      <bottom style="thin">
        <color rgb="FF0A1628"/>
      </bottom>
      <diagonal/>
    </border>
    <border>
      <left/>
      <right/>
      <top/>
      <bottom style="thin">
        <color rgb="FF1E3256"/>
      </bottom>
      <diagonal/>
    </border>
    <border>
      <left/>
      <right/>
      <top/>
      <bottom style="thin">
        <color rgb="FF1E3256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3" fontId="3" fillId="5" borderId="0" applyAlignment="1" pivotButton="0" quotePrefix="0" xfId="0">
      <alignment horizontal="center" vertical="center"/>
    </xf>
    <xf numFmtId="164" fontId="3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3" fontId="6" fillId="6" borderId="0" applyAlignment="1" pivotButton="0" quotePrefix="0" xfId="0">
      <alignment horizontal="center" vertical="center"/>
    </xf>
    <xf numFmtId="164" fontId="6" fillId="6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5" fontId="7" fillId="4" borderId="2" applyAlignment="1" pivotButton="0" quotePrefix="0" xfId="0">
      <alignment horizontal="center" vertical="center"/>
    </xf>
    <xf numFmtId="164" fontId="7" fillId="4" borderId="2" applyAlignment="1" pivotButton="0" quotePrefix="0" xfId="0">
      <alignment horizontal="center" vertical="center"/>
    </xf>
    <xf numFmtId="4" fontId="7" fillId="4" borderId="2" applyAlignment="1" pivotButton="0" quotePrefix="0" xfId="0">
      <alignment horizontal="center" vertical="center"/>
    </xf>
    <xf numFmtId="166" fontId="7" fillId="4" borderId="2" applyAlignment="1" pivotButton="0" quotePrefix="0" xfId="0">
      <alignment horizontal="center" vertical="center"/>
    </xf>
    <xf numFmtId="167" fontId="7" fillId="4" borderId="2" applyAlignment="1" pivotButton="0" quotePrefix="0" xfId="0">
      <alignment horizontal="center" vertical="center"/>
    </xf>
    <xf numFmtId="10" fontId="7" fillId="4" borderId="2" applyAlignment="1" pivotButton="0" quotePrefix="0" xfId="0">
      <alignment horizontal="center" vertical="center"/>
    </xf>
    <xf numFmtId="168" fontId="7" fillId="4" borderId="2" applyAlignment="1" pivotButton="0" quotePrefix="0" xfId="0">
      <alignment horizontal="center" vertical="center"/>
    </xf>
    <xf numFmtId="169" fontId="9" fillId="4" borderId="2" applyAlignment="1" pivotButton="0" quotePrefix="0" xfId="0">
      <alignment horizontal="center" vertical="center"/>
    </xf>
    <xf numFmtId="169" fontId="10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165" fontId="7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4" fontId="7" fillId="5" borderId="2" applyAlignment="1" pivotButton="0" quotePrefix="0" xfId="0">
      <alignment horizontal="center" vertical="center"/>
    </xf>
    <xf numFmtId="166" fontId="7" fillId="5" borderId="2" applyAlignment="1" pivotButton="0" quotePrefix="0" xfId="0">
      <alignment horizontal="center" vertical="center"/>
    </xf>
    <xf numFmtId="167" fontId="7" fillId="5" borderId="2" applyAlignment="1" pivotButton="0" quotePrefix="0" xfId="0">
      <alignment horizontal="center" vertical="center"/>
    </xf>
    <xf numFmtId="10" fontId="7" fillId="5" borderId="2" applyAlignment="1" pivotButton="0" quotePrefix="0" xfId="0">
      <alignment horizontal="center" vertical="center"/>
    </xf>
    <xf numFmtId="168" fontId="7" fillId="5" borderId="2" applyAlignment="1" pivotButton="0" quotePrefix="0" xfId="0">
      <alignment horizontal="center" vertical="center"/>
    </xf>
    <xf numFmtId="169" fontId="9" fillId="5" borderId="2" applyAlignment="1" pivotButton="0" quotePrefix="0" xfId="0">
      <alignment horizontal="center" vertical="center"/>
    </xf>
    <xf numFmtId="169" fontId="10" fillId="5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4" fontId="11" fillId="4" borderId="2" applyAlignment="1" pivotButton="0" quotePrefix="0" xfId="0">
      <alignment horizontal="center" vertical="center"/>
    </xf>
    <xf numFmtId="4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7" fontId="11" fillId="4" borderId="2" applyAlignment="1" pivotButton="0" quotePrefix="0" xfId="0">
      <alignment horizontal="center" vertical="center"/>
    </xf>
    <xf numFmtId="10" fontId="11" fillId="4" borderId="2" applyAlignment="1" pivotButton="0" quotePrefix="0" xfId="0">
      <alignment horizontal="center" vertical="center"/>
    </xf>
    <xf numFmtId="168" fontId="11" fillId="4" borderId="2" applyAlignment="1" pivotButton="0" quotePrefix="0" xfId="0">
      <alignment horizontal="center" vertical="center"/>
    </xf>
    <xf numFmtId="169" fontId="12" fillId="4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165" fontId="11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center" vertical="center"/>
    </xf>
    <xf numFmtId="4" fontId="11" fillId="5" borderId="2" applyAlignment="1" pivotButton="0" quotePrefix="0" xfId="0">
      <alignment horizontal="center" vertical="center"/>
    </xf>
    <xf numFmtId="166" fontId="11" fillId="5" borderId="2" applyAlignment="1" pivotButton="0" quotePrefix="0" xfId="0">
      <alignment horizontal="center" vertical="center"/>
    </xf>
    <xf numFmtId="167" fontId="11" fillId="5" borderId="2" applyAlignment="1" pivotButton="0" quotePrefix="0" xfId="0">
      <alignment horizontal="center" vertical="center"/>
    </xf>
    <xf numFmtId="10" fontId="11" fillId="5" borderId="2" applyAlignment="1" pivotButton="0" quotePrefix="0" xfId="0">
      <alignment horizontal="center" vertical="center"/>
    </xf>
    <xf numFmtId="168" fontId="11" fillId="5" borderId="2" applyAlignment="1" pivotButton="0" quotePrefix="0" xfId="0">
      <alignment horizontal="center" vertical="center"/>
    </xf>
    <xf numFmtId="169" fontId="12" fillId="5" borderId="2" applyAlignment="1" pivotButton="0" quotePrefix="0" xfId="0">
      <alignment horizontal="center" vertical="center"/>
    </xf>
    <xf numFmtId="164" fontId="14" fillId="6" borderId="0" applyAlignment="1" pivotButton="0" quotePrefix="0" xfId="0">
      <alignment horizontal="center" vertical="center"/>
    </xf>
    <xf numFmtId="3" fontId="14" fillId="6" borderId="0" applyAlignment="1" pivotButton="0" quotePrefix="0" xfId="0">
      <alignment horizontal="center" vertical="center"/>
    </xf>
    <xf numFmtId="166" fontId="14" fillId="6" borderId="0" applyAlignment="1" pivotButton="0" quotePrefix="0" xfId="0">
      <alignment horizontal="center" vertical="center"/>
    </xf>
    <xf numFmtId="169" fontId="14" fillId="6" borderId="0" applyAlignment="1" pivotButton="0" quotePrefix="0" xfId="0">
      <alignment horizontal="center" vertical="center"/>
    </xf>
    <xf numFmtId="169" fontId="7" fillId="4" borderId="2" applyAlignment="1" pivotButton="0" quotePrefix="0" xfId="0">
      <alignment horizontal="center" vertical="center"/>
    </xf>
    <xf numFmtId="169" fontId="7" fillId="5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164" fontId="16" fillId="4" borderId="2" applyAlignment="1" pivotButton="0" quotePrefix="0" xfId="0">
      <alignment horizontal="center" vertical="center"/>
    </xf>
    <xf numFmtId="0" fontId="17" fillId="5" borderId="0" applyAlignment="1" pivotButton="0" quotePrefix="0" xfId="0">
      <alignment horizontal="center" vertical="center"/>
    </xf>
    <xf numFmtId="164" fontId="18" fillId="5" borderId="0" applyAlignment="1" pivotButton="0" quotePrefix="0" xfId="0">
      <alignment horizontal="center" vertical="center"/>
    </xf>
    <xf numFmtId="0" fontId="17" fillId="2" borderId="0" pivotButton="0" quotePrefix="0" xfId="0"/>
    <xf numFmtId="3" fontId="19" fillId="3" borderId="0" applyAlignment="1" pivotButton="0" quotePrefix="0" xfId="0">
      <alignment horizontal="center" vertical="center"/>
    </xf>
    <xf numFmtId="0" fontId="20" fillId="2" borderId="0" pivotButton="0" quotePrefix="0" xfId="0"/>
    <xf numFmtId="4" fontId="19" fillId="3" borderId="0" applyAlignment="1" pivotButton="0" quotePrefix="0" xfId="0">
      <alignment horizontal="center" vertical="center"/>
    </xf>
    <xf numFmtId="166" fontId="21" fillId="2" borderId="0" pivotButton="0" quotePrefix="0" xfId="0"/>
    <xf numFmtId="0" fontId="22" fillId="7" borderId="3" applyAlignment="1" pivotButton="0" quotePrefix="0" xfId="0">
      <alignment horizontal="center" vertical="center"/>
    </xf>
    <xf numFmtId="0" fontId="23" fillId="7" borderId="3" applyAlignment="1" pivotButton="0" quotePrefix="0" xfId="0">
      <alignment horizontal="center" vertical="center"/>
    </xf>
    <xf numFmtId="165" fontId="22" fillId="7" borderId="3" applyAlignment="1" pivotButton="0" quotePrefix="0" xfId="0">
      <alignment horizontal="center" vertical="center"/>
    </xf>
    <xf numFmtId="164" fontId="22" fillId="7" borderId="3" applyAlignment="1" pivotButton="0" quotePrefix="0" xfId="0">
      <alignment horizontal="center" vertical="center"/>
    </xf>
    <xf numFmtId="4" fontId="22" fillId="7" borderId="3" applyAlignment="1" pivotButton="0" quotePrefix="0" xfId="0">
      <alignment horizontal="center" vertical="center"/>
    </xf>
    <xf numFmtId="166" fontId="22" fillId="7" borderId="3" applyAlignment="1" pivotButton="0" quotePrefix="0" xfId="0">
      <alignment horizontal="center" vertical="center"/>
    </xf>
    <xf numFmtId="167" fontId="22" fillId="7" borderId="3" applyAlignment="1" pivotButton="0" quotePrefix="0" xfId="0">
      <alignment horizontal="center" vertical="center"/>
    </xf>
    <xf numFmtId="10" fontId="22" fillId="7" borderId="3" applyAlignment="1" pivotButton="0" quotePrefix="0" xfId="0">
      <alignment horizontal="center" vertical="center"/>
    </xf>
    <xf numFmtId="168" fontId="22" fillId="7" borderId="3" applyAlignment="1" pivotButton="0" quotePrefix="0" xfId="0">
      <alignment horizontal="center" vertical="center"/>
    </xf>
    <xf numFmtId="169" fontId="23" fillId="7" borderId="3" applyAlignment="1" pivotButton="0" quotePrefix="0" xfId="0">
      <alignment horizontal="center" vertical="center"/>
    </xf>
    <xf numFmtId="169" fontId="24" fillId="7" borderId="3" applyAlignment="1" pivotButton="0" quotePrefix="0" xfId="0">
      <alignment horizontal="center" vertical="center"/>
    </xf>
    <xf numFmtId="0" fontId="22" fillId="8" borderId="3" applyAlignment="1" pivotButton="0" quotePrefix="0" xfId="0">
      <alignment horizontal="center" vertical="center"/>
    </xf>
    <xf numFmtId="0" fontId="23" fillId="8" borderId="3" applyAlignment="1" pivotButton="0" quotePrefix="0" xfId="0">
      <alignment horizontal="center" vertical="center"/>
    </xf>
    <xf numFmtId="165" fontId="22" fillId="8" borderId="3" applyAlignment="1" pivotButton="0" quotePrefix="0" xfId="0">
      <alignment horizontal="center" vertical="center"/>
    </xf>
    <xf numFmtId="164" fontId="22" fillId="8" borderId="3" applyAlignment="1" pivotButton="0" quotePrefix="0" xfId="0">
      <alignment horizontal="center" vertical="center"/>
    </xf>
    <xf numFmtId="4" fontId="22" fillId="8" borderId="3" applyAlignment="1" pivotButton="0" quotePrefix="0" xfId="0">
      <alignment horizontal="center" vertical="center"/>
    </xf>
    <xf numFmtId="166" fontId="22" fillId="8" borderId="3" applyAlignment="1" pivotButton="0" quotePrefix="0" xfId="0">
      <alignment horizontal="center" vertical="center"/>
    </xf>
    <xf numFmtId="167" fontId="22" fillId="8" borderId="3" applyAlignment="1" pivotButton="0" quotePrefix="0" xfId="0">
      <alignment horizontal="center" vertical="center"/>
    </xf>
    <xf numFmtId="10" fontId="22" fillId="8" borderId="3" applyAlignment="1" pivotButton="0" quotePrefix="0" xfId="0">
      <alignment horizontal="center" vertical="center"/>
    </xf>
    <xf numFmtId="168" fontId="22" fillId="8" borderId="3" applyAlignment="1" pivotButton="0" quotePrefix="0" xfId="0">
      <alignment horizontal="center" vertical="center"/>
    </xf>
    <xf numFmtId="169" fontId="23" fillId="8" borderId="3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3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1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1628"/>
      <rgbColor rgb="FF808000"/>
      <rgbColor rgb="FF800080"/>
      <rgbColor rgb="FF008080"/>
      <rgbColor rgb="FFC0C0C0"/>
      <rgbColor rgb="FF808080"/>
      <rgbColor rgb="FF9999FF"/>
      <rgbColor rgb="FFEF4444"/>
      <rgbColor rgb="FFFFFFCC"/>
      <rgbColor rgb="FFCCFFFF"/>
      <rgbColor rgb="FF660066"/>
      <rgbColor rgb="FFFF8080"/>
      <rgbColor rgb="FF0066CC"/>
      <rgbColor rgb="FFC8D6E5"/>
      <rgbColor rgb="FF060E1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ADE80"/>
      <rgbColor rgb="FF99CC00"/>
      <rgbColor rgb="FFF5C518"/>
      <rgbColor rgb="FFFF9900"/>
      <rgbColor rgb="FFF97316"/>
      <rgbColor rgb="FF666666"/>
      <rgbColor rgb="FF969696"/>
      <rgbColor rgb="FF0039A6"/>
      <rgbColor rgb="FF339966"/>
      <rgbColor rgb="FF0D1F3C"/>
      <rgbColor rgb="FF333300"/>
      <rgbColor rgb="FF993300"/>
      <rgbColor rgb="FF993366"/>
      <rgbColor rgb="FF333399"/>
      <rgbColor rgb="FF1E325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zoomScaleNormal="100" workbookViewId="0">
      <selection activeCell="A1" sqref="A1"/>
    </sheetView>
  </sheetViews>
  <sheetFormatPr baseColWidth="10" defaultColWidth="8.6640625" defaultRowHeight="14.25"/>
  <cols>
    <col width="14" customWidth="1" style="94" min="1" max="1"/>
    <col width="11" customWidth="1" style="94" min="2" max="3"/>
    <col width="16" customWidth="1" style="94" min="4" max="7"/>
  </cols>
  <sheetData>
    <row r="1" ht="18" customHeight="1" s="94">
      <c r="A1" s="1" t="n"/>
      <c r="B1" s="1" t="n"/>
      <c r="C1" s="93" t="inlineStr">
        <is>
          <t>IREMI REMESAS
RESUMEN GENERAL</t>
        </is>
      </c>
    </row>
    <row r="2" ht="30" customHeight="1" s="94">
      <c r="A2" s="1" t="n"/>
      <c r="B2" s="1" t="n"/>
    </row>
    <row r="3" ht="18" customHeight="1" s="94">
      <c r="A3" s="1" t="n"/>
      <c r="B3" s="1" t="n"/>
    </row>
    <row r="4" ht="18" customHeight="1" s="94">
      <c r="A4" s="1" t="n"/>
      <c r="B4" s="1" t="n"/>
      <c r="C4" s="1" t="n"/>
      <c r="D4" s="1" t="n"/>
      <c r="E4" s="1" t="n"/>
      <c r="F4" s="1" t="n"/>
      <c r="G4" s="1" t="n"/>
    </row>
    <row r="5" ht="19.5" customHeight="1" s="94">
      <c r="A5" s="2" t="inlineStr">
        <is>
          <t>Mes</t>
        </is>
      </c>
      <c r="B5" s="2" t="inlineStr">
        <is>
          <t>Ops SELL</t>
        </is>
      </c>
      <c r="C5" s="2" t="inlineStr">
        <is>
          <t>Ops BUY</t>
        </is>
      </c>
      <c r="D5" s="2" t="inlineStr">
        <is>
          <t>Vol. CLP</t>
        </is>
      </c>
      <c r="E5" s="2" t="inlineStr">
        <is>
          <t>Gan. Bruta</t>
        </is>
      </c>
      <c r="F5" s="2" t="inlineStr">
        <is>
          <t>Gastos</t>
        </is>
      </c>
      <c r="G5" s="2" t="inlineStr">
        <is>
          <t>Gan. Neta</t>
        </is>
      </c>
    </row>
    <row r="6" ht="18" customHeight="1" s="94">
      <c r="A6" s="3" t="inlineStr">
        <is>
          <t>Ago 2025</t>
        </is>
      </c>
      <c r="B6" s="4">
        <f>COUNTIF('Agosto 2025'!B2:B61,"SELL")</f>
        <v/>
      </c>
      <c r="C6" s="4">
        <f>COUNTIF('Agosto 2025'!B2:B61,"BUY")</f>
        <v/>
      </c>
      <c r="D6" s="5">
        <f>SUMIF('Agosto 2025'!B2:B61,"SELL",'Agosto 2025'!D2:D61)</f>
        <v/>
      </c>
      <c r="E6" s="6">
        <f>SUMIF('Agosto 2025'!B2:B61,"SELL",'Agosto 2025'!R2:R61)</f>
        <v/>
      </c>
      <c r="F6" s="5">
        <f>SUMIF('💰 Gastos'!B3:B59,"Ago-25",'💰 Gastos'!E3:E59)</f>
        <v/>
      </c>
      <c r="G6" s="6">
        <f>E6-F6</f>
        <v/>
      </c>
    </row>
    <row r="7" ht="18" customHeight="1" s="94">
      <c r="A7" s="7" t="inlineStr">
        <is>
          <t>Sep 2025</t>
        </is>
      </c>
      <c r="B7" s="8">
        <f>COUNTIF('Septiembre 2025'!B2:B104,"SELL")</f>
        <v/>
      </c>
      <c r="C7" s="8">
        <f>COUNTIF('Septiembre 2025'!B2:B104,"BUY")</f>
        <v/>
      </c>
      <c r="D7" s="9">
        <f>SUMIF('Septiembre 2025'!B2:B104,"SELL",'Septiembre 2025'!D2:D104)</f>
        <v/>
      </c>
      <c r="E7" s="10">
        <f>SUMIF('Septiembre 2025'!B2:B104,"SELL",'Septiembre 2025'!R2:R104)</f>
        <v/>
      </c>
      <c r="F7" s="9">
        <f>SUMIF('💰 Gastos'!B3:B59,"Sep-25",'💰 Gastos'!E3:E59)</f>
        <v/>
      </c>
      <c r="G7" s="10">
        <f>E7-F7</f>
        <v/>
      </c>
    </row>
    <row r="8" ht="18" customHeight="1" s="94">
      <c r="A8" s="3" t="inlineStr">
        <is>
          <t>Oct 2025</t>
        </is>
      </c>
      <c r="B8" s="4">
        <f>COUNTIF('Octubre 2025'!B2:B110,"SELL")</f>
        <v/>
      </c>
      <c r="C8" s="4">
        <f>COUNTIF('Octubre 2025'!B2:B110,"BUY")</f>
        <v/>
      </c>
      <c r="D8" s="5">
        <f>SUMIF('Octubre 2025'!B2:B110,"SELL",'Octubre 2025'!D2:D110)</f>
        <v/>
      </c>
      <c r="E8" s="6">
        <f>SUMIF('Octubre 2025'!B2:B110,"SELL",'Octubre 2025'!R2:R110)</f>
        <v/>
      </c>
      <c r="F8" s="5">
        <f>SUMIF('💰 Gastos'!B3:B59,"Oct-25",'💰 Gastos'!E3:E59)</f>
        <v/>
      </c>
      <c r="G8" s="6">
        <f>E8-F8</f>
        <v/>
      </c>
    </row>
    <row r="9" ht="18" customHeight="1" s="94">
      <c r="A9" s="7" t="inlineStr">
        <is>
          <t>Nov 2025</t>
        </is>
      </c>
      <c r="B9" s="8">
        <f>COUNTIF('Noviembre 2025'!B2:B126,"SELL")</f>
        <v/>
      </c>
      <c r="C9" s="8">
        <f>COUNTIF('Noviembre 2025'!B2:B126,"BUY")</f>
        <v/>
      </c>
      <c r="D9" s="9">
        <f>SUMIF('Noviembre 2025'!B2:B126,"SELL",'Noviembre 2025'!D2:D126)</f>
        <v/>
      </c>
      <c r="E9" s="10">
        <f>SUMIF('Noviembre 2025'!B2:B126,"SELL",'Noviembre 2025'!R2:R126)</f>
        <v/>
      </c>
      <c r="F9" s="9">
        <f>SUMIF('💰 Gastos'!B3:B59,"Nov-25",'💰 Gastos'!E3:E59)</f>
        <v/>
      </c>
      <c r="G9" s="10">
        <f>E9-F9</f>
        <v/>
      </c>
    </row>
    <row r="10" ht="18" customHeight="1" s="94">
      <c r="A10" s="3" t="inlineStr">
        <is>
          <t>Dic 2025</t>
        </is>
      </c>
      <c r="B10" s="4">
        <f>COUNTIF('Diciembre 2025'!B2:B161,"SELL")</f>
        <v/>
      </c>
      <c r="C10" s="4">
        <f>COUNTIF('Diciembre 2025'!B2:B161,"BUY")</f>
        <v/>
      </c>
      <c r="D10" s="5">
        <f>SUMIF('Diciembre 2025'!B2:B161,"SELL",'Diciembre 2025'!D2:D161)</f>
        <v/>
      </c>
      <c r="E10" s="6">
        <f>SUMIF('Diciembre 2025'!B2:B161,"SELL",'Diciembre 2025'!R2:R161)</f>
        <v/>
      </c>
      <c r="F10" s="5">
        <f>SUMIF('💰 Gastos'!B3:B59,"Dic-25",'💰 Gastos'!E3:E59)</f>
        <v/>
      </c>
      <c r="G10" s="6">
        <f>E10-F10</f>
        <v/>
      </c>
    </row>
    <row r="11" ht="18" customHeight="1" s="94">
      <c r="A11" s="7" t="inlineStr">
        <is>
          <t>Ene 2026</t>
        </is>
      </c>
      <c r="B11" s="8">
        <f>COUNTIF('Enero 2026'!B2:B163,"SELL")</f>
        <v/>
      </c>
      <c r="C11" s="8">
        <f>COUNTIF('Enero 2026'!B2:B163,"BUY")</f>
        <v/>
      </c>
      <c r="D11" s="9">
        <f>SUMIF('Enero 2026'!B2:B163,"SELL",'Enero 2026'!D2:D163)</f>
        <v/>
      </c>
      <c r="E11" s="10">
        <f>SUMIF('Enero 2026'!B2:B163,"SELL",'Enero 2026'!R2:R163)</f>
        <v/>
      </c>
      <c r="F11" s="9">
        <f>SUMIF('💰 Gastos'!B3:B59,"Ene-26",'💰 Gastos'!E3:E59)</f>
        <v/>
      </c>
      <c r="G11" s="10">
        <f>E11-F11</f>
        <v/>
      </c>
    </row>
    <row r="12" ht="18" customHeight="1" s="94">
      <c r="A12" s="3" t="inlineStr">
        <is>
          <t>Feb 2026</t>
        </is>
      </c>
      <c r="B12" s="4">
        <f>COUNTIF('Febrero 2026'!B2:B171,"SELL")</f>
        <v/>
      </c>
      <c r="C12" s="4">
        <f>COUNTIF('Febrero 2026'!B2:B171,"BUY")</f>
        <v/>
      </c>
      <c r="D12" s="5">
        <f>SUMIF('Febrero 2026'!B2:B171,"SELL",'Febrero 2026'!D2:D171)</f>
        <v/>
      </c>
      <c r="E12" s="6">
        <f>SUMIF('Febrero 2026'!B2:B171,"SELL",'Febrero 2026'!R2:R171)</f>
        <v/>
      </c>
      <c r="F12" s="5">
        <f>SUMIF('💰 Gastos'!B3:B59,"Feb-26",'💰 Gastos'!E3:E59)</f>
        <v/>
      </c>
      <c r="G12" s="6">
        <f>E12-F12</f>
        <v/>
      </c>
    </row>
    <row r="13" ht="18" customHeight="1" s="94">
      <c r="A13" s="7" t="inlineStr">
        <is>
          <t>Mar 2026</t>
        </is>
      </c>
      <c r="B13" s="8">
        <f>COUNTIF('Marzo 2026'!B2:B131,"SELL")</f>
        <v/>
      </c>
      <c r="C13" s="8">
        <f>COUNTIF('Marzo 2026'!B2:B131,"BUY")</f>
        <v/>
      </c>
      <c r="D13" s="9">
        <f>SUMIF('Marzo 2026'!B2:B131,"SELL",'Marzo 2026'!D2:D131)</f>
        <v/>
      </c>
      <c r="E13" s="10">
        <f>SUMIF('Marzo 2026'!B2:B131,"SELL",'Marzo 2026'!R2:R131)</f>
        <v/>
      </c>
      <c r="F13" s="9">
        <f>SUMIF('💰 Gastos'!B3:B59,"Mar-26",'💰 Gastos'!E3:E59)</f>
        <v/>
      </c>
      <c r="G13" s="10">
        <f>E13-F13</f>
        <v/>
      </c>
    </row>
    <row r="14" ht="18" customHeight="1" s="94">
      <c r="A14" s="3" t="inlineStr">
        <is>
          <t>Abr 2026</t>
        </is>
      </c>
      <c r="B14" s="4">
        <f>COUNTIF('Abril 2026'!B2:B201,"SELL")</f>
        <v/>
      </c>
      <c r="C14" s="4">
        <f>COUNTIF('Abril 2026'!B2:B201,"BUY")</f>
        <v/>
      </c>
      <c r="D14" s="5">
        <f>SUMIF('Abril 2026'!B2:B201,"SELL",'Abril 2026'!D2:D201)</f>
        <v/>
      </c>
      <c r="E14" s="6">
        <f>SUMIF('Abril 2026'!B2:B201,"SELL",'Abril 2026'!R2:R201)</f>
        <v/>
      </c>
      <c r="F14" s="5">
        <f>SUMIF('💰 Gastos'!B3:B59,"Abr-26",'💰 Gastos'!E3:E59)</f>
        <v/>
      </c>
      <c r="G14" s="6">
        <f>E14-F14</f>
        <v/>
      </c>
    </row>
    <row r="15" ht="18" customHeight="1" s="94">
      <c r="A15" s="11" t="inlineStr">
        <is>
          <t>TOTAL</t>
        </is>
      </c>
      <c r="B15" s="12">
        <f>SUM(B6:B14)</f>
        <v/>
      </c>
      <c r="C15" s="12">
        <f>SUM(C6:C14)</f>
        <v/>
      </c>
      <c r="D15" s="13">
        <f>SUM(D6:D14)</f>
        <v/>
      </c>
      <c r="E15" s="13">
        <f>SUM(E6:E14)</f>
        <v/>
      </c>
      <c r="F15" s="13">
        <f>SUM(F6:F14)</f>
        <v/>
      </c>
      <c r="G15" s="13">
        <f>SUM(G6:G14)</f>
        <v/>
      </c>
    </row>
    <row r="16" ht="18" customHeight="1" s="94">
      <c r="A16" s="1" t="n"/>
      <c r="B16" s="1" t="n"/>
      <c r="C16" s="1" t="n"/>
      <c r="D16" s="1" t="n"/>
      <c r="E16" s="1" t="n"/>
      <c r="F16" s="1" t="n"/>
      <c r="G16" s="1" t="n"/>
    </row>
    <row r="17" ht="18" customHeight="1" s="94">
      <c r="A17" s="1" t="n"/>
      <c r="B17" s="1" t="n"/>
      <c r="C17" s="1" t="n"/>
      <c r="D17" s="1" t="n"/>
      <c r="E17" s="1" t="n"/>
      <c r="F17" s="1" t="n"/>
      <c r="G17" s="1" t="n"/>
    </row>
    <row r="18" ht="18" customHeight="1" s="94">
      <c r="A18" s="1" t="n"/>
      <c r="B18" s="1" t="n"/>
      <c r="C18" s="1" t="n"/>
      <c r="D18" s="1" t="n"/>
      <c r="E18" s="1" t="n"/>
      <c r="F18" s="1" t="n"/>
      <c r="G18" s="1" t="n"/>
    </row>
    <row r="19" ht="18" customHeight="1" s="94">
      <c r="A19" s="1" t="n"/>
      <c r="B19" s="1" t="n"/>
      <c r="C19" s="1" t="n"/>
      <c r="D19" s="1" t="n"/>
      <c r="E19" s="1" t="n"/>
      <c r="F19" s="1" t="n"/>
      <c r="G19" s="1" t="n"/>
    </row>
    <row r="20" ht="18" customHeight="1" s="94">
      <c r="A20" s="1" t="n"/>
      <c r="B20" s="1" t="n"/>
      <c r="C20" s="1" t="n"/>
      <c r="D20" s="1" t="n"/>
      <c r="E20" s="1" t="n"/>
      <c r="F20" s="1" t="n"/>
      <c r="G20" s="1" t="n"/>
    </row>
    <row r="21" ht="18" customHeight="1" s="94">
      <c r="A21" s="1" t="n"/>
      <c r="B21" s="1" t="n"/>
      <c r="C21" s="1" t="n"/>
      <c r="D21" s="1" t="n"/>
      <c r="E21" s="1" t="n"/>
      <c r="F21" s="1" t="n"/>
      <c r="G21" s="1" t="n"/>
    </row>
    <row r="22" ht="18" customHeight="1" s="94">
      <c r="A22" s="1" t="n"/>
      <c r="B22" s="1" t="n"/>
      <c r="C22" s="1" t="n"/>
      <c r="D22" s="1" t="n"/>
      <c r="E22" s="1" t="n"/>
      <c r="F22" s="1" t="n"/>
      <c r="G22" s="1" t="n"/>
    </row>
    <row r="23" ht="18" customHeight="1" s="94">
      <c r="A23" s="1" t="n"/>
      <c r="B23" s="1" t="n"/>
      <c r="C23" s="1" t="n"/>
      <c r="D23" s="1" t="n"/>
      <c r="E23" s="1" t="n"/>
      <c r="F23" s="1" t="n"/>
      <c r="G23" s="1" t="n"/>
    </row>
    <row r="24" ht="18" customHeight="1" s="94">
      <c r="A24" s="1" t="n"/>
      <c r="B24" s="1" t="n"/>
      <c r="C24" s="1" t="n"/>
      <c r="D24" s="1" t="n"/>
      <c r="E24" s="1" t="n"/>
      <c r="F24" s="1" t="n"/>
      <c r="G24" s="1" t="n"/>
    </row>
    <row r="25" ht="18" customHeight="1" s="94">
      <c r="A25" s="1" t="n"/>
      <c r="B25" s="1" t="n"/>
      <c r="C25" s="1" t="n"/>
      <c r="D25" s="1" t="n"/>
      <c r="E25" s="1" t="n"/>
      <c r="F25" s="1" t="n"/>
      <c r="G25" s="1" t="n"/>
    </row>
    <row r="26" ht="18" customHeight="1" s="94">
      <c r="A26" s="1" t="n"/>
      <c r="B26" s="1" t="n"/>
      <c r="C26" s="1" t="n"/>
      <c r="D26" s="1" t="n"/>
      <c r="E26" s="1" t="n"/>
      <c r="F26" s="1" t="n"/>
      <c r="G26" s="1" t="n"/>
    </row>
    <row r="27" ht="18" customHeight="1" s="94">
      <c r="A27" s="1" t="n"/>
      <c r="B27" s="1" t="n"/>
      <c r="C27" s="1" t="n"/>
      <c r="D27" s="1" t="n"/>
      <c r="E27" s="1" t="n"/>
      <c r="F27" s="1" t="n"/>
      <c r="G27" s="1" t="n"/>
    </row>
    <row r="28" ht="18" customHeight="1" s="94">
      <c r="A28" s="1" t="n"/>
      <c r="B28" s="1" t="n"/>
      <c r="C28" s="1" t="n"/>
      <c r="D28" s="1" t="n"/>
      <c r="E28" s="1" t="n"/>
      <c r="F28" s="1" t="n"/>
      <c r="G28" s="1" t="n"/>
    </row>
    <row r="29" ht="18" customHeight="1" s="94">
      <c r="A29" s="1" t="n"/>
      <c r="B29" s="1" t="n"/>
      <c r="C29" s="1" t="n"/>
      <c r="D29" s="1" t="n"/>
      <c r="E29" s="1" t="n"/>
      <c r="F29" s="1" t="n"/>
      <c r="G29" s="1" t="n"/>
    </row>
    <row r="30" ht="18" customHeight="1" s="94">
      <c r="A30" s="1" t="n"/>
      <c r="B30" s="1" t="n"/>
      <c r="C30" s="1" t="n"/>
      <c r="D30" s="1" t="n"/>
      <c r="E30" s="1" t="n"/>
      <c r="F30" s="1" t="n"/>
      <c r="G30" s="1" t="n"/>
    </row>
    <row r="31" ht="18" customHeight="1" s="94">
      <c r="A31" s="1" t="n"/>
      <c r="B31" s="1" t="n"/>
      <c r="C31" s="1" t="n"/>
      <c r="D31" s="1" t="n"/>
      <c r="E31" s="1" t="n"/>
      <c r="F31" s="1" t="n"/>
      <c r="G31" s="1" t="n"/>
    </row>
    <row r="32" ht="18" customHeight="1" s="94">
      <c r="A32" s="1" t="n"/>
      <c r="B32" s="1" t="n"/>
      <c r="C32" s="1" t="n"/>
      <c r="D32" s="1" t="n"/>
      <c r="E32" s="1" t="n"/>
      <c r="F32" s="1" t="n"/>
      <c r="G32" s="1" t="n"/>
    </row>
    <row r="33" ht="18" customHeight="1" s="94">
      <c r="A33" s="1" t="n"/>
      <c r="B33" s="1" t="n"/>
      <c r="C33" s="1" t="n"/>
      <c r="D33" s="1" t="n"/>
      <c r="E33" s="1" t="n"/>
      <c r="F33" s="1" t="n"/>
      <c r="G33" s="1" t="n"/>
    </row>
    <row r="34" ht="18" customHeight="1" s="94">
      <c r="A34" s="1" t="n"/>
      <c r="B34" s="1" t="n"/>
      <c r="C34" s="1" t="n"/>
      <c r="D34" s="1" t="n"/>
      <c r="E34" s="1" t="n"/>
      <c r="F34" s="1" t="n"/>
      <c r="G34" s="1" t="n"/>
    </row>
    <row r="35" ht="18" customHeight="1" s="94">
      <c r="A35" s="1" t="n"/>
      <c r="B35" s="1" t="n"/>
      <c r="C35" s="1" t="n"/>
      <c r="D35" s="1" t="n"/>
      <c r="E35" s="1" t="n"/>
      <c r="F35" s="1" t="n"/>
      <c r="G35" s="1" t="n"/>
    </row>
    <row r="36" ht="18" customHeight="1" s="94">
      <c r="A36" s="1" t="n"/>
      <c r="B36" s="1" t="n"/>
      <c r="C36" s="1" t="n"/>
      <c r="D36" s="1" t="n"/>
      <c r="E36" s="1" t="n"/>
      <c r="F36" s="1" t="n"/>
      <c r="G36" s="1" t="n"/>
    </row>
    <row r="37" ht="18" customHeight="1" s="94">
      <c r="A37" s="1" t="n"/>
      <c r="B37" s="1" t="n"/>
      <c r="C37" s="1" t="n"/>
      <c r="D37" s="1" t="n"/>
      <c r="E37" s="1" t="n"/>
      <c r="F37" s="1" t="n"/>
      <c r="G37" s="1" t="n"/>
    </row>
    <row r="38" ht="18" customHeight="1" s="94">
      <c r="A38" s="1" t="n"/>
      <c r="B38" s="1" t="n"/>
      <c r="C38" s="1" t="n"/>
      <c r="D38" s="1" t="n"/>
      <c r="E38" s="1" t="n"/>
      <c r="F38" s="1" t="n"/>
      <c r="G38" s="1" t="n"/>
    </row>
    <row r="39" ht="18" customHeight="1" s="94">
      <c r="A39" s="1" t="n"/>
      <c r="B39" s="1" t="n"/>
      <c r="C39" s="1" t="n"/>
      <c r="D39" s="1" t="n"/>
      <c r="E39" s="1" t="n"/>
      <c r="F39" s="1" t="n"/>
      <c r="G39" s="1" t="n"/>
    </row>
    <row r="40" ht="18" customHeight="1" s="94">
      <c r="A40" s="1" t="n"/>
      <c r="B40" s="1" t="n"/>
      <c r="C40" s="1" t="n"/>
      <c r="D40" s="1" t="n"/>
      <c r="E40" s="1" t="n"/>
      <c r="F40" s="1" t="n"/>
      <c r="G40" s="1" t="n"/>
    </row>
    <row r="41" ht="18" customHeight="1" s="94">
      <c r="A41" s="1" t="n"/>
      <c r="B41" s="1" t="n"/>
      <c r="C41" s="1" t="n"/>
      <c r="D41" s="1" t="n"/>
      <c r="E41" s="1" t="n"/>
      <c r="F41" s="1" t="n"/>
      <c r="G41" s="1" t="n"/>
    </row>
  </sheetData>
  <mergeCells count="1">
    <mergeCell ref="C1:G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25"/>
  <cols>
    <col width="5" customWidth="1" style="94" min="1" max="1"/>
    <col width="8" customWidth="1" style="94" min="2" max="2"/>
    <col width="11" customWidth="1" style="94" min="3" max="3"/>
    <col width="13" customWidth="1" style="94" min="4" max="6"/>
    <col width="10" customWidth="1" style="94" min="7" max="8"/>
    <col width="13" customWidth="1" style="94" min="9" max="10"/>
    <col width="11" customWidth="1" style="94" min="11" max="12"/>
    <col width="13" customWidth="1" style="94" min="13" max="13"/>
    <col width="20" customWidth="1" style="94" min="14" max="14"/>
    <col width="10" customWidth="1" style="94" min="15" max="16"/>
    <col width="13" customWidth="1" style="94" min="17" max="18"/>
    <col width="15" customWidth="1" style="94" min="19" max="19"/>
  </cols>
  <sheetData>
    <row r="1" ht="21.75" customHeight="1" s="94">
      <c r="A1" s="2" t="inlineStr">
        <is>
          <t>N°</t>
        </is>
      </c>
      <c r="B1" s="2" t="inlineStr">
        <is>
          <t>Tipo</t>
        </is>
      </c>
      <c r="C1" s="2" t="inlineStr">
        <is>
          <t>Fecha</t>
        </is>
      </c>
      <c r="D1" s="2" t="inlineStr">
        <is>
          <t>Monto CLP</t>
        </is>
      </c>
      <c r="E1" s="2" t="inlineStr">
        <is>
          <t>USDT/CLP Compra</t>
        </is>
      </c>
      <c r="F1" s="2" t="inlineStr">
        <is>
          <t>USDT/CLP Venta</t>
        </is>
      </c>
      <c r="G1" s="2" t="inlineStr">
        <is>
          <t>USDT Mov</t>
        </is>
      </c>
      <c r="H1" s="2" t="inlineStr">
        <is>
          <t>Tax Binance</t>
        </is>
      </c>
      <c r="I1" s="2" t="inlineStr">
        <is>
          <t>Capital USDT</t>
        </is>
      </c>
      <c r="J1" s="2" t="inlineStr">
        <is>
          <t>Tasa Destino</t>
        </is>
      </c>
      <c r="K1" s="2" t="inlineStr">
        <is>
          <t>Tasa Real</t>
        </is>
      </c>
      <c r="L1" s="2" t="inlineStr">
        <is>
          <t>Tasa IREMI</t>
        </is>
      </c>
      <c r="M1" s="2" t="inlineStr">
        <is>
          <t>Valor Destino</t>
        </is>
      </c>
      <c r="N1" s="2" t="inlineStr">
        <is>
          <t>Comentario</t>
        </is>
      </c>
      <c r="O1" s="2" t="inlineStr">
        <is>
          <t>% G USDT</t>
        </is>
      </c>
      <c r="P1" s="2" t="inlineStr">
        <is>
          <t>% G CLP</t>
        </is>
      </c>
      <c r="Q1" s="2" t="inlineStr">
        <is>
          <t>Ganancia USDT</t>
        </is>
      </c>
      <c r="R1" s="2" t="inlineStr">
        <is>
          <t>Ganancia CLP</t>
        </is>
      </c>
      <c r="S1" s="2" t="inlineStr">
        <is>
          <t>Acumulado SELL</t>
        </is>
      </c>
    </row>
    <row r="2" ht="15.75" customHeight="1" s="94">
      <c r="A2" s="14" t="n">
        <v>1</v>
      </c>
      <c r="B2" s="15" t="inlineStr">
        <is>
          <t>BUY</t>
        </is>
      </c>
      <c r="C2" s="16" t="n">
        <v>45855</v>
      </c>
      <c r="D2" s="17" t="n">
        <v>20000</v>
      </c>
      <c r="E2" s="18" t="n">
        <v>971.99</v>
      </c>
      <c r="F2" s="18" t="n"/>
      <c r="G2" s="19" t="n">
        <v>20.5763433780183</v>
      </c>
      <c r="H2" s="19" t="n"/>
      <c r="I2" s="19" t="n">
        <v>72.2084337548293</v>
      </c>
      <c r="J2" s="19" t="n"/>
      <c r="K2" s="20">
        <f>IF(AND(B2="SELL",E2&gt;0,J2&lt;&gt;""),J2/E2,0)</f>
        <v/>
      </c>
      <c r="L2" s="20" t="n"/>
      <c r="M2" s="18">
        <f>IF(AND(B2="SELL",L2&gt;0),D2*L2,0)</f>
        <v/>
      </c>
      <c r="N2" s="14" t="inlineStr">
        <is>
          <t>inyeccion</t>
        </is>
      </c>
      <c r="O2" s="21">
        <f>IF(AND(B2="SELL",G2&lt;&gt;0),Q2/ABS(G2),0)</f>
        <v/>
      </c>
      <c r="P2" s="21">
        <f>IF(AND(B2="SELL",D2&gt;0),R2/D2,0)</f>
        <v/>
      </c>
      <c r="Q2" s="22">
        <f>IF(AND(B2="SELL",D2&gt;0,E2&gt;0),(D2/E2)+G2,0)</f>
        <v/>
      </c>
      <c r="R2" s="23">
        <f>IF(B2="SELL",Q2*F2,0)</f>
        <v/>
      </c>
      <c r="S2" s="24">
        <f>R2</f>
        <v/>
      </c>
    </row>
    <row r="3" ht="15.75" customHeight="1" s="94">
      <c r="A3" s="25" t="n">
        <v>2</v>
      </c>
      <c r="B3" s="26" t="inlineStr">
        <is>
          <t>BUY</t>
        </is>
      </c>
      <c r="C3" s="27" t="n">
        <v>45865</v>
      </c>
      <c r="D3" s="28" t="n">
        <v>50000</v>
      </c>
      <c r="E3" s="29" t="n">
        <v>968.39</v>
      </c>
      <c r="F3" s="29" t="n"/>
      <c r="G3" s="30" t="n">
        <v>51.632090376811</v>
      </c>
      <c r="H3" s="30" t="n"/>
      <c r="I3" s="30" t="n">
        <v>72.208434</v>
      </c>
      <c r="J3" s="30" t="n"/>
      <c r="K3" s="31">
        <f>IF(AND(B3="SELL",E3&gt;0,J3&lt;&gt;""),J3/E3,0)</f>
        <v/>
      </c>
      <c r="L3" s="31" t="n"/>
      <c r="M3" s="29">
        <f>IF(AND(B3="SELL",L3&gt;0),D3*L3,0)</f>
        <v/>
      </c>
      <c r="N3" s="25" t="inlineStr">
        <is>
          <t>Inyeccion Cambio Rosalys Correg</t>
        </is>
      </c>
      <c r="O3" s="32">
        <f>IF(AND(B3="SELL",G3&lt;&gt;0),Q3/ABS(G3),0)</f>
        <v/>
      </c>
      <c r="P3" s="32">
        <f>IF(AND(B3="SELL",D3&gt;0),R3/D3,0)</f>
        <v/>
      </c>
      <c r="Q3" s="33">
        <f>IF(AND(B3="SELL",D3&gt;0,E3&gt;0),(D3/E3)+G3,0)</f>
        <v/>
      </c>
      <c r="R3" s="34">
        <f>IF(B3="SELL",Q3*F3,0)</f>
        <v/>
      </c>
      <c r="S3" s="35">
        <f>S2+R3</f>
        <v/>
      </c>
    </row>
    <row r="4" ht="15.75" customHeight="1" s="94">
      <c r="A4" s="36" t="n">
        <v>3</v>
      </c>
      <c r="B4" s="37" t="inlineStr">
        <is>
          <t>SELL</t>
        </is>
      </c>
      <c r="C4" s="38" t="n">
        <v>45867</v>
      </c>
      <c r="D4" s="39" t="n">
        <v>10000</v>
      </c>
      <c r="E4" s="40" t="n">
        <v>968.39</v>
      </c>
      <c r="F4" s="40" t="n"/>
      <c r="G4" s="41" t="n">
        <v>-10</v>
      </c>
      <c r="H4" s="41" t="n"/>
      <c r="I4" s="19" t="n">
        <v>62.208434</v>
      </c>
      <c r="J4" s="41" t="n">
        <v>164.5</v>
      </c>
      <c r="K4" s="42">
        <f>IF(AND(B4="SELL",E4&gt;0,J4&lt;&gt;""),J4/E4,0)</f>
        <v/>
      </c>
      <c r="L4" s="42" t="n"/>
      <c r="M4" s="40">
        <f>IF(AND(B4="SELL",L4&gt;0),D4*L4,0)</f>
        <v/>
      </c>
      <c r="N4" s="36" t="inlineStr">
        <is>
          <t>Cambio Prueba Jesus</t>
        </is>
      </c>
      <c r="O4" s="43">
        <f>IF(AND(B4="SELL",G4&lt;&gt;0),Q4/ABS(G4),0)</f>
        <v/>
      </c>
      <c r="P4" s="43">
        <f>IF(AND(B4="SELL",D4&gt;0),R4/D4,0)</f>
        <v/>
      </c>
      <c r="Q4" s="44">
        <f>IF(AND(B4="SELL",D4&gt;0,E4&gt;0),(D4/E4)+G4,0)</f>
        <v/>
      </c>
      <c r="R4" s="45">
        <f>IF(B4="SELL",Q4*F4,0)</f>
        <v/>
      </c>
      <c r="S4" s="24">
        <f>S3+R4</f>
        <v/>
      </c>
    </row>
    <row r="5" ht="15.75" customHeight="1" s="94">
      <c r="A5" s="46" t="n">
        <v>4</v>
      </c>
      <c r="B5" s="47" t="inlineStr">
        <is>
          <t>SELL</t>
        </is>
      </c>
      <c r="C5" s="48" t="n">
        <v>45873</v>
      </c>
      <c r="D5" s="49" t="n">
        <v>40000</v>
      </c>
      <c r="E5" s="50" t="n">
        <v>968.39</v>
      </c>
      <c r="F5" s="50" t="n"/>
      <c r="G5" s="51" t="n">
        <v>-41.65</v>
      </c>
      <c r="H5" s="51" t="n"/>
      <c r="I5" s="30" t="n">
        <v>-0.01791</v>
      </c>
      <c r="J5" s="51" t="n">
        <v>168.3</v>
      </c>
      <c r="K5" s="52">
        <f>IF(AND(B5="SELL",E5&gt;0,J5&lt;&gt;""),J5/E5,0)</f>
        <v/>
      </c>
      <c r="L5" s="52" t="n"/>
      <c r="M5" s="50">
        <f>IF(AND(B5="SELL",L5&gt;0),D5*L5,0)</f>
        <v/>
      </c>
      <c r="N5" s="46" t="inlineStr">
        <is>
          <t>Cambio Rosalys</t>
        </is>
      </c>
      <c r="O5" s="53">
        <f>IF(AND(B5="SELL",G5&lt;&gt;0),Q5/ABS(G5),0)</f>
        <v/>
      </c>
      <c r="P5" s="53">
        <f>IF(AND(B5="SELL",D5&gt;0),R5/D5,0)</f>
        <v/>
      </c>
      <c r="Q5" s="54">
        <f>IF(AND(B5="SELL",D5&gt;0,E5&gt;0),(D5/E5)+G5,0)</f>
        <v/>
      </c>
      <c r="R5" s="55">
        <f>IF(B5="SELL",Q5*F5,0)</f>
        <v/>
      </c>
      <c r="S5" s="35">
        <f>S4+R5</f>
        <v/>
      </c>
    </row>
    <row r="6" ht="15.75" customHeight="1" s="94">
      <c r="A6" s="14" t="n">
        <v>5</v>
      </c>
      <c r="B6" s="15" t="inlineStr">
        <is>
          <t>BUY</t>
        </is>
      </c>
      <c r="C6" s="16" t="n">
        <v>45874</v>
      </c>
      <c r="D6" s="17" t="n">
        <v>100000</v>
      </c>
      <c r="E6" s="18" t="n">
        <v>970.02</v>
      </c>
      <c r="F6" s="18" t="n"/>
      <c r="G6" s="19" t="n">
        <v>103.090657924579</v>
      </c>
      <c r="H6" s="19" t="n"/>
      <c r="I6" s="19" t="n">
        <v>123.649092</v>
      </c>
      <c r="J6" s="19" t="n"/>
      <c r="K6" s="20">
        <f>IF(AND(B6="SELL",E6&gt;0,J6&lt;&gt;""),J6/E6,0)</f>
        <v/>
      </c>
      <c r="L6" s="20" t="n"/>
      <c r="M6" s="18">
        <f>IF(AND(B6="SELL",L6&gt;0),D6*L6,0)</f>
        <v/>
      </c>
      <c r="N6" s="14" t="inlineStr">
        <is>
          <t>inyeccion</t>
        </is>
      </c>
      <c r="O6" s="21">
        <f>IF(AND(B6="SELL",G6&lt;&gt;0),Q6/ABS(G6),0)</f>
        <v/>
      </c>
      <c r="P6" s="21">
        <f>IF(AND(B6="SELL",D6&gt;0),R6/D6,0)</f>
        <v/>
      </c>
      <c r="Q6" s="22">
        <f>IF(AND(B6="SELL",D6&gt;0,E6&gt;0),(D6/E6)+G6,0)</f>
        <v/>
      </c>
      <c r="R6" s="23">
        <f>IF(B6="SELL",Q6*F6,0)</f>
        <v/>
      </c>
      <c r="S6" s="24">
        <f>S5+R6</f>
        <v/>
      </c>
    </row>
    <row r="7" ht="15.75" customHeight="1" s="94">
      <c r="A7" s="46" t="n">
        <v>6</v>
      </c>
      <c r="B7" s="47" t="inlineStr">
        <is>
          <t>SELL</t>
        </is>
      </c>
      <c r="C7" s="48" t="n">
        <v>45874</v>
      </c>
      <c r="D7" s="49" t="n">
        <v>50000</v>
      </c>
      <c r="E7" s="50" t="n"/>
      <c r="F7" s="50" t="n"/>
      <c r="G7" s="51" t="n">
        <v>-51.54</v>
      </c>
      <c r="H7" s="51" t="n"/>
      <c r="I7" s="30" t="n">
        <v>72.109092</v>
      </c>
      <c r="J7" s="51" t="n">
        <v>170.8</v>
      </c>
      <c r="K7" s="52">
        <f>IF(AND(B7="SELL",E7&gt;0,J7&lt;&gt;""),J7/E7,0)</f>
        <v/>
      </c>
      <c r="L7" s="52" t="n"/>
      <c r="M7" s="50">
        <f>IF(AND(B7="SELL",L7&gt;0),D7*L7,0)</f>
        <v/>
      </c>
      <c r="N7" s="46" t="inlineStr">
        <is>
          <t>Cambio Sr Jesus  30 y 20 Rosalys</t>
        </is>
      </c>
      <c r="O7" s="53">
        <f>IF(AND(B7="SELL",G7&lt;&gt;0),Q7/ABS(G7),0)</f>
        <v/>
      </c>
      <c r="P7" s="53">
        <f>IF(AND(B7="SELL",D7&gt;0),R7/D7,0)</f>
        <v/>
      </c>
      <c r="Q7" s="54">
        <f>IF(AND(B7="SELL",D7&gt;0,E7&gt;0),(D7/E7)+G7,0)</f>
        <v/>
      </c>
      <c r="R7" s="55">
        <f>IF(B7="SELL",Q7*F7,0)</f>
        <v/>
      </c>
      <c r="S7" s="35">
        <f>S6+R7</f>
        <v/>
      </c>
    </row>
    <row r="8" ht="15.75" customHeight="1" s="94">
      <c r="A8" s="14" t="n">
        <v>7</v>
      </c>
      <c r="B8" s="15" t="inlineStr">
        <is>
          <t>BUY</t>
        </is>
      </c>
      <c r="C8" s="16" t="n">
        <v>45874</v>
      </c>
      <c r="D8" s="17" t="n">
        <v>50000</v>
      </c>
      <c r="E8" s="18" t="n">
        <v>973.24</v>
      </c>
      <c r="F8" s="18" t="n"/>
      <c r="G8" s="19" t="n">
        <v>51.3747893633636</v>
      </c>
      <c r="H8" s="19" t="n"/>
      <c r="I8" s="19" t="n">
        <v>123.483881</v>
      </c>
      <c r="J8" s="19" t="n"/>
      <c r="K8" s="20">
        <f>IF(AND(B8="SELL",E8&gt;0,J8&lt;&gt;""),J8/E8,0)</f>
        <v/>
      </c>
      <c r="L8" s="20" t="n"/>
      <c r="M8" s="18">
        <f>IF(AND(B8="SELL",L8&gt;0),D8*L8,0)</f>
        <v/>
      </c>
      <c r="N8" s="14" t="inlineStr">
        <is>
          <t>inyeccion Jancy</t>
        </is>
      </c>
      <c r="O8" s="21">
        <f>IF(AND(B8="SELL",G8&lt;&gt;0),Q8/ABS(G8),0)</f>
        <v/>
      </c>
      <c r="P8" s="21">
        <f>IF(AND(B8="SELL",D8&gt;0),R8/D8,0)</f>
        <v/>
      </c>
      <c r="Q8" s="22">
        <f>IF(AND(B8="SELL",D8&gt;0,E8&gt;0),(D8/E8)+G8,0)</f>
        <v/>
      </c>
      <c r="R8" s="23">
        <f>IF(B8="SELL",Q8*F8,0)</f>
        <v/>
      </c>
      <c r="S8" s="24">
        <f>S7+R8</f>
        <v/>
      </c>
    </row>
    <row r="9" ht="15.75" customHeight="1" s="94">
      <c r="A9" s="46" t="n">
        <v>8</v>
      </c>
      <c r="B9" s="47" t="inlineStr">
        <is>
          <t>SELL</t>
        </is>
      </c>
      <c r="C9" s="48" t="n">
        <v>45874</v>
      </c>
      <c r="D9" s="49" t="n">
        <v>50000</v>
      </c>
      <c r="E9" s="50" t="n"/>
      <c r="F9" s="50" t="n"/>
      <c r="G9" s="51" t="n">
        <v>-46.1999</v>
      </c>
      <c r="H9" s="51" t="n"/>
      <c r="I9" s="30" t="n">
        <v>77.283981</v>
      </c>
      <c r="J9" s="51" t="n">
        <v>175.515</v>
      </c>
      <c r="K9" s="52">
        <f>IF(AND(B9="SELL",E9&gt;0,J9&lt;&gt;""),J9/E9,0)</f>
        <v/>
      </c>
      <c r="L9" s="52" t="n"/>
      <c r="M9" s="50">
        <f>IF(AND(B9="SELL",L9&gt;0),D9*L9,0)</f>
        <v/>
      </c>
      <c r="N9" s="46" t="inlineStr">
        <is>
          <t>Cambio Sr Jesus Jancy</t>
        </is>
      </c>
      <c r="O9" s="53">
        <f>IF(AND(B9="SELL",G9&lt;&gt;0),Q9/ABS(G9),0)</f>
        <v/>
      </c>
      <c r="P9" s="53">
        <f>IF(AND(B9="SELL",D9&gt;0),R9/D9,0)</f>
        <v/>
      </c>
      <c r="Q9" s="54">
        <f>IF(AND(B9="SELL",D9&gt;0,E9&gt;0),(D9/E9)+G9,0)</f>
        <v/>
      </c>
      <c r="R9" s="55">
        <f>IF(B9="SELL",Q9*F9,0)</f>
        <v/>
      </c>
      <c r="S9" s="35">
        <f>S8+R9</f>
        <v/>
      </c>
    </row>
    <row r="10" ht="15.75" customHeight="1" s="94">
      <c r="A10" s="14" t="n">
        <v>9</v>
      </c>
      <c r="B10" s="15" t="inlineStr">
        <is>
          <t>BUY</t>
        </is>
      </c>
      <c r="C10" s="16" t="n">
        <v>45875</v>
      </c>
      <c r="D10" s="17" t="n">
        <v>50000</v>
      </c>
      <c r="E10" s="18" t="n">
        <v>980.99</v>
      </c>
      <c r="F10" s="18" t="n"/>
      <c r="G10" s="19" t="n">
        <v>50.9689191531004</v>
      </c>
      <c r="H10" s="19" t="n"/>
      <c r="I10" s="19" t="n">
        <v>128.2529</v>
      </c>
      <c r="J10" s="19" t="n"/>
      <c r="K10" s="20">
        <f>IF(AND(B10="SELL",E10&gt;0,J10&lt;&gt;""),J10/E10,0)</f>
        <v/>
      </c>
      <c r="L10" s="20" t="n"/>
      <c r="M10" s="18">
        <f>IF(AND(B10="SELL",L10&gt;0),D10*L10,0)</f>
        <v/>
      </c>
      <c r="N10" s="14" t="n"/>
      <c r="O10" s="21">
        <f>IF(AND(B10="SELL",G10&lt;&gt;0),Q10/ABS(G10),0)</f>
        <v/>
      </c>
      <c r="P10" s="21">
        <f>IF(AND(B10="SELL",D10&gt;0),R10/D10,0)</f>
        <v/>
      </c>
      <c r="Q10" s="22">
        <f>IF(AND(B10="SELL",D10&gt;0,E10&gt;0),(D10/E10)+G10,0)</f>
        <v/>
      </c>
      <c r="R10" s="23">
        <f>IF(B10="SELL",Q10*F10,0)</f>
        <v/>
      </c>
      <c r="S10" s="24">
        <f>S9+R10</f>
        <v/>
      </c>
    </row>
    <row r="11" ht="15.75" customHeight="1" s="94">
      <c r="A11" s="25" t="n">
        <v>10</v>
      </c>
      <c r="B11" s="26" t="inlineStr">
        <is>
          <t>BUY</t>
        </is>
      </c>
      <c r="C11" s="27" t="n">
        <v>45875</v>
      </c>
      <c r="D11" s="28" t="n">
        <v>50000</v>
      </c>
      <c r="E11" s="29" t="n">
        <v>982.3200000000001</v>
      </c>
      <c r="F11" s="29" t="n"/>
      <c r="G11" s="30" t="n">
        <v>50.8999104161577</v>
      </c>
      <c r="H11" s="30" t="n"/>
      <c r="I11" s="30" t="n">
        <v>179.152811</v>
      </c>
      <c r="J11" s="30" t="n"/>
      <c r="K11" s="31">
        <f>IF(AND(B11="SELL",E11&gt;0,J11&lt;&gt;""),J11/E11,0)</f>
        <v/>
      </c>
      <c r="L11" s="31" t="n"/>
      <c r="M11" s="29">
        <f>IF(AND(B11="SELL",L11&gt;0),D11*L11,0)</f>
        <v/>
      </c>
      <c r="N11" s="25" t="n"/>
      <c r="O11" s="32">
        <f>IF(AND(B11="SELL",G11&lt;&gt;0),Q11/ABS(G11),0)</f>
        <v/>
      </c>
      <c r="P11" s="32">
        <f>IF(AND(B11="SELL",D11&gt;0),R11/D11,0)</f>
        <v/>
      </c>
      <c r="Q11" s="33">
        <f>IF(AND(B11="SELL",D11&gt;0,E11&gt;0),(D11/E11)+G11,0)</f>
        <v/>
      </c>
      <c r="R11" s="34">
        <f>IF(B11="SELL",Q11*F11,0)</f>
        <v/>
      </c>
      <c r="S11" s="35">
        <f>S10+R11</f>
        <v/>
      </c>
    </row>
    <row r="12" ht="15.75" customHeight="1" s="94">
      <c r="A12" s="36" t="n">
        <v>11</v>
      </c>
      <c r="B12" s="37" t="inlineStr">
        <is>
          <t>SELL</t>
        </is>
      </c>
      <c r="C12" s="38" t="n">
        <v>45877</v>
      </c>
      <c r="D12" s="39" t="n">
        <v>10000</v>
      </c>
      <c r="E12" s="40" t="n">
        <v>982.3200000000001</v>
      </c>
      <c r="F12" s="40" t="n"/>
      <c r="G12" s="41" t="n">
        <v>-9.85</v>
      </c>
      <c r="H12" s="41" t="n"/>
      <c r="I12" s="19" t="n">
        <v>169.302811</v>
      </c>
      <c r="J12" s="41" t="n">
        <v>178.8</v>
      </c>
      <c r="K12" s="42">
        <f>IF(AND(B12="SELL",E12&gt;0,J12&lt;&gt;""),J12/E12,0)</f>
        <v/>
      </c>
      <c r="L12" s="42" t="n">
        <v>0.176</v>
      </c>
      <c r="M12" s="40">
        <f>IF(AND(B12="SELL",L12&gt;0),D12*L12,0)</f>
        <v/>
      </c>
      <c r="N12" s="36" t="inlineStr">
        <is>
          <t>Inicio IREMI - Cambio Angel</t>
        </is>
      </c>
      <c r="O12" s="43">
        <f>IF(AND(B12="SELL",G12&lt;&gt;0),Q12/ABS(G12),0)</f>
        <v/>
      </c>
      <c r="P12" s="43">
        <f>IF(AND(B12="SELL",D12&gt;0),R12/D12,0)</f>
        <v/>
      </c>
      <c r="Q12" s="44">
        <f>IF(AND(B12="SELL",D12&gt;0,E12&gt;0),(D12/E12)+G12,0)</f>
        <v/>
      </c>
      <c r="R12" s="45">
        <f>IF(B12="SELL",Q12*F12,0)</f>
        <v/>
      </c>
      <c r="S12" s="24">
        <f>S11+R12</f>
        <v/>
      </c>
    </row>
    <row r="13" ht="15.75" customHeight="1" s="94">
      <c r="A13" s="46" t="n">
        <v>12</v>
      </c>
      <c r="B13" s="47" t="inlineStr">
        <is>
          <t>SELL</t>
        </is>
      </c>
      <c r="C13" s="48" t="n">
        <v>45878</v>
      </c>
      <c r="D13" s="49" t="n">
        <v>10000</v>
      </c>
      <c r="E13" s="50" t="n">
        <v>982.3200000000001</v>
      </c>
      <c r="F13" s="50" t="n"/>
      <c r="G13" s="51" t="n">
        <v>-9.98</v>
      </c>
      <c r="H13" s="51" t="n"/>
      <c r="I13" s="30" t="n">
        <v>159.322811</v>
      </c>
      <c r="J13" s="51" t="n">
        <v>180.2</v>
      </c>
      <c r="K13" s="52">
        <f>IF(AND(B13="SELL",E13&gt;0,J13&lt;&gt;""),J13/E13,0)</f>
        <v/>
      </c>
      <c r="L13" s="52" t="n">
        <v>0.18</v>
      </c>
      <c r="M13" s="50">
        <f>IF(AND(B13="SELL",L13&gt;0),D13*L13,0)</f>
        <v/>
      </c>
      <c r="N13" s="46" t="inlineStr">
        <is>
          <t>cambio paula</t>
        </is>
      </c>
      <c r="O13" s="53">
        <f>IF(AND(B13="SELL",G13&lt;&gt;0),Q13/ABS(G13),0)</f>
        <v/>
      </c>
      <c r="P13" s="53">
        <f>IF(AND(B13="SELL",D13&gt;0),R13/D13,0)</f>
        <v/>
      </c>
      <c r="Q13" s="54">
        <f>IF(AND(B13="SELL",D13&gt;0,E13&gt;0),(D13/E13)+G13,0)</f>
        <v/>
      </c>
      <c r="R13" s="55">
        <f>IF(B13="SELL",Q13*F13,0)</f>
        <v/>
      </c>
      <c r="S13" s="35">
        <f>S12+R13</f>
        <v/>
      </c>
    </row>
    <row r="14" ht="15.75" customHeight="1" s="94">
      <c r="A14" s="36" t="n">
        <v>13</v>
      </c>
      <c r="B14" s="37" t="inlineStr">
        <is>
          <t>SELL</t>
        </is>
      </c>
      <c r="C14" s="38" t="n">
        <v>45878</v>
      </c>
      <c r="D14" s="39" t="n">
        <v>60000</v>
      </c>
      <c r="E14" s="40" t="n">
        <v>982.3200000000001</v>
      </c>
      <c r="F14" s="40" t="n"/>
      <c r="G14" s="41" t="n">
        <v>-59.25</v>
      </c>
      <c r="H14" s="41" t="n"/>
      <c r="I14" s="19" t="n">
        <v>100.072811</v>
      </c>
      <c r="J14" s="41" t="n">
        <v>182.5</v>
      </c>
      <c r="K14" s="42">
        <f>IF(AND(B14="SELL",E14&gt;0,J14&lt;&gt;""),J14/E14,0)</f>
        <v/>
      </c>
      <c r="L14" s="42" t="n">
        <v>0.18</v>
      </c>
      <c r="M14" s="40">
        <f>IF(AND(B14="SELL",L14&gt;0),D14*L14,0)</f>
        <v/>
      </c>
      <c r="N14" s="36" t="inlineStr">
        <is>
          <t>Cambio ucla</t>
        </is>
      </c>
      <c r="O14" s="43">
        <f>IF(AND(B14="SELL",G14&lt;&gt;0),Q14/ABS(G14),0)</f>
        <v/>
      </c>
      <c r="P14" s="43">
        <f>IF(AND(B14="SELL",D14&gt;0),R14/D14,0)</f>
        <v/>
      </c>
      <c r="Q14" s="44">
        <f>IF(AND(B14="SELL",D14&gt;0,E14&gt;0),(D14/E14)+G14,0)</f>
        <v/>
      </c>
      <c r="R14" s="45">
        <f>IF(B14="SELL",Q14*F14,0)</f>
        <v/>
      </c>
      <c r="S14" s="24">
        <f>S13+R14</f>
        <v/>
      </c>
    </row>
    <row r="15" ht="15.75" customHeight="1" s="94">
      <c r="A15" s="46" t="n">
        <v>14</v>
      </c>
      <c r="B15" s="47" t="inlineStr">
        <is>
          <t>SELL</t>
        </is>
      </c>
      <c r="C15" s="48" t="n">
        <v>45878</v>
      </c>
      <c r="D15" s="49" t="n">
        <v>20000</v>
      </c>
      <c r="E15" s="50" t="n">
        <v>982.3200000000001</v>
      </c>
      <c r="F15" s="50" t="n"/>
      <c r="G15" s="51" t="n">
        <v>-19.53</v>
      </c>
      <c r="H15" s="51" t="n"/>
      <c r="I15" s="30" t="n">
        <v>80.542811</v>
      </c>
      <c r="J15" s="51" t="n">
        <v>3.4181</v>
      </c>
      <c r="K15" s="52">
        <f>IF(AND(B15="SELL",E15&gt;0,J15&lt;&gt;""),J15/E15,0)</f>
        <v/>
      </c>
      <c r="L15" s="52" t="n">
        <v>0.0034</v>
      </c>
      <c r="M15" s="50">
        <f>IF(AND(B15="SELL",L15&gt;0),D15*L15,0)</f>
        <v/>
      </c>
      <c r="N15" s="46" t="inlineStr">
        <is>
          <t>Cambio armando a PEN</t>
        </is>
      </c>
      <c r="O15" s="53">
        <f>IF(AND(B15="SELL",G15&lt;&gt;0),Q15/ABS(G15),0)</f>
        <v/>
      </c>
      <c r="P15" s="53">
        <f>IF(AND(B15="SELL",D15&gt;0),R15/D15,0)</f>
        <v/>
      </c>
      <c r="Q15" s="54">
        <f>IF(AND(B15="SELL",D15&gt;0,E15&gt;0),(D15/E15)+G15,0)</f>
        <v/>
      </c>
      <c r="R15" s="55">
        <f>IF(B15="SELL",Q15*F15,0)</f>
        <v/>
      </c>
      <c r="S15" s="35">
        <f>S14+R15</f>
        <v/>
      </c>
    </row>
    <row r="16" ht="15.75" customHeight="1" s="94">
      <c r="A16" s="14" t="n">
        <v>15</v>
      </c>
      <c r="B16" s="15" t="inlineStr">
        <is>
          <t>BUY</t>
        </is>
      </c>
      <c r="C16" s="16" t="n">
        <v>45879</v>
      </c>
      <c r="D16" s="17" t="n">
        <v>100000</v>
      </c>
      <c r="E16" s="18" t="n">
        <v>971.42</v>
      </c>
      <c r="F16" s="18" t="n"/>
      <c r="G16" s="19" t="n">
        <v>102.942084783101</v>
      </c>
      <c r="H16" s="19" t="n"/>
      <c r="I16" s="19" t="n">
        <v>183.484895</v>
      </c>
      <c r="J16" s="19" t="n"/>
      <c r="K16" s="20">
        <f>IF(AND(B16="SELL",E16&gt;0,J16&lt;&gt;""),J16/E16,0)</f>
        <v/>
      </c>
      <c r="L16" s="20" t="n"/>
      <c r="M16" s="18">
        <f>IF(AND(B16="SELL",L16&gt;0),D16*L16,0)</f>
        <v/>
      </c>
      <c r="N16" s="14" t="n"/>
      <c r="O16" s="21">
        <f>IF(AND(B16="SELL",G16&lt;&gt;0),Q16/ABS(G16),0)</f>
        <v/>
      </c>
      <c r="P16" s="21">
        <f>IF(AND(B16="SELL",D16&gt;0),R16/D16,0)</f>
        <v/>
      </c>
      <c r="Q16" s="22">
        <f>IF(AND(B16="SELL",D16&gt;0,E16&gt;0),(D16/E16)+G16,0)</f>
        <v/>
      </c>
      <c r="R16" s="23">
        <f>IF(B16="SELL",Q16*F16,0)</f>
        <v/>
      </c>
      <c r="S16" s="24">
        <f>S15+R16</f>
        <v/>
      </c>
    </row>
    <row r="17" ht="15.75" customHeight="1" s="94">
      <c r="A17" s="46" t="n">
        <v>16</v>
      </c>
      <c r="B17" s="47" t="inlineStr">
        <is>
          <t>SELL</t>
        </is>
      </c>
      <c r="C17" s="48" t="n">
        <v>45879</v>
      </c>
      <c r="D17" s="49" t="n">
        <v>40000</v>
      </c>
      <c r="E17" s="50" t="n">
        <v>971.42</v>
      </c>
      <c r="F17" s="50" t="n"/>
      <c r="G17" s="51" t="n">
        <v>-39.12</v>
      </c>
      <c r="H17" s="51" t="n"/>
      <c r="I17" s="30" t="n">
        <v>144.364895</v>
      </c>
      <c r="J17" s="51" t="n">
        <v>182.511</v>
      </c>
      <c r="K17" s="52">
        <f>IF(AND(B17="SELL",E17&gt;0,J17&lt;&gt;""),J17/E17,0)</f>
        <v/>
      </c>
      <c r="L17" s="52" t="n">
        <v>0.1785</v>
      </c>
      <c r="M17" s="50">
        <f>IF(AND(B17="SELL",L17&gt;0),D17*L17,0)</f>
        <v/>
      </c>
      <c r="N17" s="46" t="inlineStr">
        <is>
          <t>Cambio Angel 2</t>
        </is>
      </c>
      <c r="O17" s="53">
        <f>IF(AND(B17="SELL",G17&lt;&gt;0),Q17/ABS(G17),0)</f>
        <v/>
      </c>
      <c r="P17" s="53">
        <f>IF(AND(B17="SELL",D17&gt;0),R17/D17,0)</f>
        <v/>
      </c>
      <c r="Q17" s="54">
        <f>IF(AND(B17="SELL",D17&gt;0,E17&gt;0),(D17/E17)+G17,0)</f>
        <v/>
      </c>
      <c r="R17" s="55">
        <f>IF(B17="SELL",Q17*F17,0)</f>
        <v/>
      </c>
      <c r="S17" s="35">
        <f>S16+R17</f>
        <v/>
      </c>
    </row>
    <row r="18" ht="15.75" customHeight="1" s="94">
      <c r="A18" s="36" t="n">
        <v>17</v>
      </c>
      <c r="B18" s="37" t="inlineStr">
        <is>
          <t>SELL</t>
        </is>
      </c>
      <c r="C18" s="38" t="n">
        <v>45879</v>
      </c>
      <c r="D18" s="39" t="n">
        <v>90000</v>
      </c>
      <c r="E18" s="40" t="n">
        <v>971.42</v>
      </c>
      <c r="F18" s="40" t="n"/>
      <c r="G18" s="41" t="n">
        <v>-89.95</v>
      </c>
      <c r="H18" s="41" t="n"/>
      <c r="I18" s="19" t="n">
        <v>54.414895</v>
      </c>
      <c r="J18" s="41" t="n">
        <v>182.41</v>
      </c>
      <c r="K18" s="42">
        <f>IF(AND(B18="SELL",E18&gt;0,J18&lt;&gt;""),J18/E18,0)</f>
        <v/>
      </c>
      <c r="L18" s="42" t="n">
        <v>0.1823</v>
      </c>
      <c r="M18" s="40">
        <f>IF(AND(B18="SELL",L18&gt;0),D18*L18,0)</f>
        <v/>
      </c>
      <c r="N18" s="36" t="inlineStr">
        <is>
          <t>Cambio paula y rosalys</t>
        </is>
      </c>
      <c r="O18" s="43">
        <f>IF(AND(B18="SELL",G18&lt;&gt;0),Q18/ABS(G18),0)</f>
        <v/>
      </c>
      <c r="P18" s="43">
        <f>IF(AND(B18="SELL",D18&gt;0),R18/D18,0)</f>
        <v/>
      </c>
      <c r="Q18" s="44">
        <f>IF(AND(B18="SELL",D18&gt;0,E18&gt;0),(D18/E18)+G18,0)</f>
        <v/>
      </c>
      <c r="R18" s="45">
        <f>IF(B18="SELL",Q18*F18,0)</f>
        <v/>
      </c>
      <c r="S18" s="24">
        <f>S17+R18</f>
        <v/>
      </c>
    </row>
    <row r="19" ht="15.75" customHeight="1" s="94">
      <c r="A19" s="25" t="n">
        <v>18</v>
      </c>
      <c r="B19" s="26" t="inlineStr">
        <is>
          <t>BUY</t>
        </is>
      </c>
      <c r="C19" s="27" t="n">
        <v>45879</v>
      </c>
      <c r="D19" s="28" t="n">
        <v>100000</v>
      </c>
      <c r="E19" s="29" t="n">
        <v>971.52</v>
      </c>
      <c r="F19" s="29" t="n"/>
      <c r="G19" s="30" t="n">
        <v>102.931488801054</v>
      </c>
      <c r="H19" s="30" t="n"/>
      <c r="I19" s="30" t="n">
        <v>157.346384</v>
      </c>
      <c r="J19" s="30" t="n"/>
      <c r="K19" s="31">
        <f>IF(AND(B19="SELL",E19&gt;0,J19&lt;&gt;""),J19/E19,0)</f>
        <v/>
      </c>
      <c r="L19" s="31" t="n"/>
      <c r="M19" s="29">
        <f>IF(AND(B19="SELL",L19&gt;0),D19*L19,0)</f>
        <v/>
      </c>
      <c r="N19" s="25" t="n"/>
      <c r="O19" s="32">
        <f>IF(AND(B19="SELL",G19&lt;&gt;0),Q19/ABS(G19),0)</f>
        <v/>
      </c>
      <c r="P19" s="32">
        <f>IF(AND(B19="SELL",D19&gt;0),R19/D19,0)</f>
        <v/>
      </c>
      <c r="Q19" s="33">
        <f>IF(AND(B19="SELL",D19&gt;0,E19&gt;0),(D19/E19)+G19,0)</f>
        <v/>
      </c>
      <c r="R19" s="34">
        <f>IF(B19="SELL",Q19*F19,0)</f>
        <v/>
      </c>
      <c r="S19" s="35">
        <f>S18+R19</f>
        <v/>
      </c>
    </row>
    <row r="20" ht="15.75" customHeight="1" s="94">
      <c r="A20" s="36" t="n">
        <v>19</v>
      </c>
      <c r="B20" s="37" t="inlineStr">
        <is>
          <t>SELL</t>
        </is>
      </c>
      <c r="C20" s="38" t="n">
        <v>45883</v>
      </c>
      <c r="D20" s="39" t="n">
        <v>40000</v>
      </c>
      <c r="E20" s="40" t="n">
        <v>971.52</v>
      </c>
      <c r="F20" s="40" t="n">
        <v>962.2</v>
      </c>
      <c r="G20" s="41" t="n">
        <v>-40.13</v>
      </c>
      <c r="H20" s="41" t="n"/>
      <c r="I20" s="19" t="n">
        <v>117.216384</v>
      </c>
      <c r="J20" s="41" t="n">
        <v>189.103</v>
      </c>
      <c r="K20" s="42">
        <f>IF(AND(B20="SELL",E20&gt;0,J20&lt;&gt;""),J20/E20,0)</f>
        <v/>
      </c>
      <c r="L20" s="42" t="n">
        <v>0.1895</v>
      </c>
      <c r="M20" s="40">
        <f>IF(AND(B20="SELL",L20&gt;0),D20*L20,0)</f>
        <v/>
      </c>
      <c r="N20" s="36" t="inlineStr">
        <is>
          <t>Cambio Yakari Rosalys</t>
        </is>
      </c>
      <c r="O20" s="43">
        <f>IF(AND(B20="SELL",G20&lt;&gt;0),Q20/ABS(G20),0)</f>
        <v/>
      </c>
      <c r="P20" s="43">
        <f>IF(AND(B20="SELL",D20&gt;0),R20/D20,0)</f>
        <v/>
      </c>
      <c r="Q20" s="44">
        <f>IF(AND(B20="SELL",D20&gt;0,E20&gt;0),(D20/E20)+G20,0)</f>
        <v/>
      </c>
      <c r="R20" s="45">
        <f>IF(B20="SELL",Q20*F20,0)</f>
        <v/>
      </c>
      <c r="S20" s="24">
        <f>S19+R20</f>
        <v/>
      </c>
    </row>
    <row r="21" ht="15.75" customHeight="1" s="94">
      <c r="A21" s="46" t="n">
        <v>20</v>
      </c>
      <c r="B21" s="47" t="inlineStr">
        <is>
          <t>SELL</t>
        </is>
      </c>
      <c r="C21" s="48" t="n">
        <v>45885</v>
      </c>
      <c r="D21" s="49" t="n">
        <v>30000</v>
      </c>
      <c r="E21" s="50" t="n">
        <v>971.42</v>
      </c>
      <c r="F21" s="50" t="n">
        <v>972.5</v>
      </c>
      <c r="G21" s="51" t="n">
        <v>-29.52</v>
      </c>
      <c r="H21" s="51" t="n"/>
      <c r="I21" s="30" t="n">
        <v>159.696384</v>
      </c>
      <c r="J21" s="51" t="n">
        <v>190</v>
      </c>
      <c r="K21" s="52">
        <f>IF(AND(B21="SELL",E21&gt;0,J21&lt;&gt;""),J21/E21,0)</f>
        <v/>
      </c>
      <c r="L21" s="52" t="n">
        <v>0.187</v>
      </c>
      <c r="M21" s="50">
        <f>IF(AND(B21="SELL",L21&gt;0),D21*L21,0)</f>
        <v/>
      </c>
      <c r="N21" s="46" t="inlineStr">
        <is>
          <t>cambio paula</t>
        </is>
      </c>
      <c r="O21" s="53">
        <f>IF(AND(B21="SELL",G21&lt;&gt;0),Q21/ABS(G21),0)</f>
        <v/>
      </c>
      <c r="P21" s="53">
        <f>IF(AND(B21="SELL",D21&gt;0),R21/D21,0)</f>
        <v/>
      </c>
      <c r="Q21" s="54">
        <f>IF(AND(B21="SELL",D21&gt;0,E21&gt;0),(D21/E21)+G21,0)</f>
        <v/>
      </c>
      <c r="R21" s="55">
        <f>IF(B21="SELL",Q21*F21,0)</f>
        <v/>
      </c>
      <c r="S21" s="35">
        <f>S20+R21</f>
        <v/>
      </c>
    </row>
    <row r="22" ht="15.75" customHeight="1" s="94">
      <c r="A22" s="36" t="n">
        <v>21</v>
      </c>
      <c r="B22" s="37" t="inlineStr">
        <is>
          <t>SELL</t>
        </is>
      </c>
      <c r="C22" s="38" t="n">
        <v>45885</v>
      </c>
      <c r="D22" s="39" t="n">
        <v>120000</v>
      </c>
      <c r="E22" s="40" t="n">
        <v>971.42</v>
      </c>
      <c r="F22" s="40" t="n">
        <v>972.5</v>
      </c>
      <c r="G22" s="41" t="n">
        <v>-116.94</v>
      </c>
      <c r="H22" s="41" t="n"/>
      <c r="I22" s="19" t="n">
        <v>22.180041</v>
      </c>
      <c r="J22" s="41" t="n">
        <v>191.3</v>
      </c>
      <c r="K22" s="42">
        <f>IF(AND(B22="SELL",E22&gt;0,J22&lt;&gt;""),J22/E22,0)</f>
        <v/>
      </c>
      <c r="L22" s="42" t="n">
        <v>0.187</v>
      </c>
      <c r="M22" s="40">
        <f>IF(AND(B22="SELL",L22&gt;0),D22*L22,0)</f>
        <v/>
      </c>
      <c r="N22" s="36" t="inlineStr">
        <is>
          <t>Cambio Angel 2</t>
        </is>
      </c>
      <c r="O22" s="43">
        <f>IF(AND(B22="SELL",G22&lt;&gt;0),Q22/ABS(G22),0)</f>
        <v/>
      </c>
      <c r="P22" s="43">
        <f>IF(AND(B22="SELL",D22&gt;0),R22/D22,0)</f>
        <v/>
      </c>
      <c r="Q22" s="44">
        <f>IF(AND(B22="SELL",D22&gt;0,E22&gt;0),(D22/E22)+G22,0)</f>
        <v/>
      </c>
      <c r="R22" s="45">
        <f>IF(B22="SELL",Q22*F22,0)</f>
        <v/>
      </c>
      <c r="S22" s="24">
        <f>S21+R22</f>
        <v/>
      </c>
    </row>
    <row r="23" ht="15.75" customHeight="1" s="94">
      <c r="A23" s="46" t="n">
        <v>22</v>
      </c>
      <c r="B23" s="47" t="inlineStr">
        <is>
          <t>SELL</t>
        </is>
      </c>
      <c r="C23" s="48" t="n">
        <v>45885</v>
      </c>
      <c r="D23" s="49" t="n">
        <v>10000</v>
      </c>
      <c r="E23" s="50" t="n">
        <v>971.42</v>
      </c>
      <c r="F23" s="50" t="n">
        <v>972.5</v>
      </c>
      <c r="G23" s="51" t="n">
        <v>-9.949999999999999</v>
      </c>
      <c r="H23" s="51" t="n"/>
      <c r="I23" s="30" t="n">
        <v>12.230041</v>
      </c>
      <c r="J23" s="51" t="n">
        <v>187.925</v>
      </c>
      <c r="K23" s="52">
        <f>IF(AND(B23="SELL",E23&gt;0,J23&lt;&gt;""),J23/E23,0)</f>
        <v/>
      </c>
      <c r="L23" s="52" t="n">
        <v>0.187</v>
      </c>
      <c r="M23" s="50">
        <f>IF(AND(B23="SELL",L23&gt;0),D23*L23,0)</f>
        <v/>
      </c>
      <c r="N23" s="46" t="inlineStr">
        <is>
          <t>Cambio Mama tia aracelis</t>
        </is>
      </c>
      <c r="O23" s="53">
        <f>IF(AND(B23="SELL",G23&lt;&gt;0),Q23/ABS(G23),0)</f>
        <v/>
      </c>
      <c r="P23" s="53">
        <f>IF(AND(B23="SELL",D23&gt;0),R23/D23,0)</f>
        <v/>
      </c>
      <c r="Q23" s="54">
        <f>IF(AND(B23="SELL",D23&gt;0,E23&gt;0),(D23/E23)+G23,0)</f>
        <v/>
      </c>
      <c r="R23" s="55">
        <f>IF(B23="SELL",Q23*F23,0)</f>
        <v/>
      </c>
      <c r="S23" s="35">
        <f>S22+R23</f>
        <v/>
      </c>
    </row>
    <row r="24" ht="15.75" customHeight="1" s="94">
      <c r="A24" s="14" t="n">
        <v>23</v>
      </c>
      <c r="B24" s="15" t="inlineStr">
        <is>
          <t>BUY</t>
        </is>
      </c>
      <c r="C24" s="16" t="n">
        <v>45885</v>
      </c>
      <c r="D24" s="17" t="n">
        <v>150000</v>
      </c>
      <c r="E24" s="18" t="n">
        <v>972.28</v>
      </c>
      <c r="F24" s="18" t="n">
        <v>972.5</v>
      </c>
      <c r="G24" s="19" t="n">
        <v>154.52</v>
      </c>
      <c r="H24" s="19" t="n"/>
      <c r="I24" s="19" t="n">
        <v>187.326384</v>
      </c>
      <c r="J24" s="19" t="n"/>
      <c r="K24" s="20">
        <f>IF(AND(B24="SELL",E24&gt;0,J24&lt;&gt;""),J24/E24,0)</f>
        <v/>
      </c>
      <c r="L24" s="20" t="n"/>
      <c r="M24" s="18">
        <f>IF(AND(B24="SELL",L24&gt;0),D24*L24,0)</f>
        <v/>
      </c>
      <c r="N24" s="14" t="n"/>
      <c r="O24" s="21">
        <f>IF(AND(B24="SELL",G24&lt;&gt;0),Q24/ABS(G24),0)</f>
        <v/>
      </c>
      <c r="P24" s="21">
        <f>IF(AND(B24="SELL",D24&gt;0),R24/D24,0)</f>
        <v/>
      </c>
      <c r="Q24" s="22">
        <f>IF(AND(B24="SELL",D24&gt;0,E24&gt;0),(D24/E24)+G24,0)</f>
        <v/>
      </c>
      <c r="R24" s="23">
        <f>IF(B24="SELL",Q24*F24,0)</f>
        <v/>
      </c>
      <c r="S24" s="24">
        <f>S23+R24</f>
        <v/>
      </c>
    </row>
    <row r="25" ht="15.75" customHeight="1" s="94">
      <c r="A25" s="46" t="n">
        <v>24</v>
      </c>
      <c r="B25" s="47" t="inlineStr">
        <is>
          <t>SELL</t>
        </is>
      </c>
      <c r="C25" s="48" t="n">
        <v>45885</v>
      </c>
      <c r="D25" s="49" t="n">
        <v>40000</v>
      </c>
      <c r="E25" s="50" t="n">
        <v>972.28</v>
      </c>
      <c r="F25" s="50" t="n">
        <v>972.5</v>
      </c>
      <c r="G25" s="51" t="n">
        <v>-39.13</v>
      </c>
      <c r="H25" s="51" t="n"/>
      <c r="I25" s="30" t="n">
        <v>127.620041</v>
      </c>
      <c r="J25" s="51" t="n">
        <v>191.4</v>
      </c>
      <c r="K25" s="52">
        <f>IF(AND(B25="SELL",E25&gt;0,J25&lt;&gt;""),J25/E25,0)</f>
        <v/>
      </c>
      <c r="L25" s="52" t="n">
        <v>0.187</v>
      </c>
      <c r="M25" s="50">
        <f>IF(AND(B25="SELL",L25&gt;0),D25*L25,0)</f>
        <v/>
      </c>
      <c r="N25" s="46" t="inlineStr">
        <is>
          <t>Cambio Mama</t>
        </is>
      </c>
      <c r="O25" s="53">
        <f>IF(AND(B25="SELL",G25&lt;&gt;0),Q25/ABS(G25),0)</f>
        <v/>
      </c>
      <c r="P25" s="53">
        <f>IF(AND(B25="SELL",D25&gt;0),R25/D25,0)</f>
        <v/>
      </c>
      <c r="Q25" s="54">
        <f>IF(AND(B25="SELL",D25&gt;0,E25&gt;0),(D25/E25)+G25,0)</f>
        <v/>
      </c>
      <c r="R25" s="55">
        <f>IF(B25="SELL",Q25*F25,0)</f>
        <v/>
      </c>
      <c r="S25" s="35">
        <f>S24+R25</f>
        <v/>
      </c>
    </row>
    <row r="26" ht="15.75" customHeight="1" s="94">
      <c r="A26" s="36" t="n">
        <v>25</v>
      </c>
      <c r="B26" s="37" t="inlineStr">
        <is>
          <t>SELL</t>
        </is>
      </c>
      <c r="C26" s="38" t="n">
        <v>45887</v>
      </c>
      <c r="D26" s="39" t="n">
        <v>500000</v>
      </c>
      <c r="E26" s="40" t="n">
        <v>970.7</v>
      </c>
      <c r="F26" s="40" t="n">
        <v>972.5</v>
      </c>
      <c r="G26" s="41" t="n">
        <v>-450.5</v>
      </c>
      <c r="H26" s="41" t="n"/>
      <c r="I26" s="19" t="n">
        <v>-302.303616</v>
      </c>
      <c r="J26" s="41" t="n">
        <v>17.89</v>
      </c>
      <c r="K26" s="42">
        <f>IF(AND(B26="SELL",E26&gt;0,J26&lt;&gt;""),J26/E26,0)</f>
        <v/>
      </c>
      <c r="L26" s="42" t="n">
        <v>0.0174</v>
      </c>
      <c r="M26" s="40">
        <f>IF(AND(B26="SELL",L26&gt;0),D26*L26,0)</f>
        <v/>
      </c>
      <c r="N26" s="36" t="inlineStr">
        <is>
          <t>cambio johan a mxn</t>
        </is>
      </c>
      <c r="O26" s="43">
        <f>IF(AND(B26="SELL",G26&lt;&gt;0),Q26/ABS(G26),0)</f>
        <v/>
      </c>
      <c r="P26" s="43">
        <f>IF(AND(B26="SELL",D26&gt;0),R26/D26,0)</f>
        <v/>
      </c>
      <c r="Q26" s="44">
        <f>IF(AND(B26="SELL",D26&gt;0,E26&gt;0),(D26/E26)+G26,0)</f>
        <v/>
      </c>
      <c r="R26" s="45">
        <f>IF(B26="SELL",Q26*F26,0)</f>
        <v/>
      </c>
      <c r="S26" s="24">
        <f>S25+R26</f>
        <v/>
      </c>
    </row>
    <row r="27" ht="15.75" customHeight="1" s="94">
      <c r="A27" s="25" t="n">
        <v>26</v>
      </c>
      <c r="B27" s="26" t="inlineStr">
        <is>
          <t>BUY</t>
        </is>
      </c>
      <c r="C27" s="27" t="n">
        <v>45887</v>
      </c>
      <c r="D27" s="28" t="n">
        <v>500000</v>
      </c>
      <c r="E27" s="29" t="n">
        <v>970.7</v>
      </c>
      <c r="F27" s="29" t="n">
        <v>972.5</v>
      </c>
      <c r="G27" s="30" t="n">
        <v>515.092201504069</v>
      </c>
      <c r="H27" s="30" t="n"/>
      <c r="I27" s="30" t="n">
        <v>212.788586</v>
      </c>
      <c r="J27" s="30" t="n"/>
      <c r="K27" s="31">
        <f>IF(AND(B27="SELL",E27&gt;0,J27&lt;&gt;""),J27/E27,0)</f>
        <v/>
      </c>
      <c r="L27" s="31" t="n"/>
      <c r="M27" s="29">
        <f>IF(AND(B27="SELL",L27&gt;0),D27*L27,0)</f>
        <v/>
      </c>
      <c r="N27" s="25" t="n"/>
      <c r="O27" s="32">
        <f>IF(AND(B27="SELL",G27&lt;&gt;0),Q27/ABS(G27),0)</f>
        <v/>
      </c>
      <c r="P27" s="32">
        <f>IF(AND(B27="SELL",D27&gt;0),R27/D27,0)</f>
        <v/>
      </c>
      <c r="Q27" s="33">
        <f>IF(AND(B27="SELL",D27&gt;0,E27&gt;0),(D27/E27)+G27,0)</f>
        <v/>
      </c>
      <c r="R27" s="34">
        <f>IF(B27="SELL",Q27*F27,0)</f>
        <v/>
      </c>
      <c r="S27" s="35">
        <f>S26+R27</f>
        <v/>
      </c>
    </row>
    <row r="28" ht="15.75" customHeight="1" s="94">
      <c r="A28" s="36" t="n">
        <v>27</v>
      </c>
      <c r="B28" s="37" t="inlineStr">
        <is>
          <t>SELL</t>
        </is>
      </c>
      <c r="C28" s="38" t="n">
        <v>45889</v>
      </c>
      <c r="D28" s="39" t="n">
        <v>50000</v>
      </c>
      <c r="E28" s="40" t="n">
        <v>970.7</v>
      </c>
      <c r="F28" s="40" t="n">
        <v>969.9400000000001</v>
      </c>
      <c r="G28" s="41" t="n">
        <v>-47.67</v>
      </c>
      <c r="H28" s="41" t="n"/>
      <c r="I28" s="19" t="n">
        <v>165.118586</v>
      </c>
      <c r="J28" s="41" t="n">
        <v>209.106</v>
      </c>
      <c r="K28" s="42">
        <f>IF(AND(B28="SELL",E28&gt;0,J28&lt;&gt;""),J28/E28,0)</f>
        <v/>
      </c>
      <c r="L28" s="42" t="n">
        <v>0.199</v>
      </c>
      <c r="M28" s="40">
        <f>IF(AND(B28="SELL",L28&gt;0),D28*L28,0)</f>
        <v/>
      </c>
      <c r="N28" s="36" t="inlineStr">
        <is>
          <t>cambio pinky</t>
        </is>
      </c>
      <c r="O28" s="43">
        <f>IF(AND(B28="SELL",G28&lt;&gt;0),Q28/ABS(G28),0)</f>
        <v/>
      </c>
      <c r="P28" s="43">
        <f>IF(AND(B28="SELL",D28&gt;0),R28/D28,0)</f>
        <v/>
      </c>
      <c r="Q28" s="44">
        <f>IF(AND(B28="SELL",D28&gt;0,E28&gt;0),(D28/E28)+G28,0)</f>
        <v/>
      </c>
      <c r="R28" s="45">
        <f>IF(B28="SELL",Q28*F28,0)</f>
        <v/>
      </c>
      <c r="S28" s="24">
        <f>S27+R28</f>
        <v/>
      </c>
    </row>
    <row r="29" ht="15.75" customHeight="1" s="94">
      <c r="A29" s="46" t="n">
        <v>28</v>
      </c>
      <c r="B29" s="47" t="inlineStr">
        <is>
          <t>SELL</t>
        </is>
      </c>
      <c r="C29" s="48" t="n">
        <v>45891</v>
      </c>
      <c r="D29" s="49" t="n">
        <v>30000</v>
      </c>
      <c r="E29" s="50" t="n">
        <v>970.7</v>
      </c>
      <c r="F29" s="50" t="n">
        <v>969.9400000000001</v>
      </c>
      <c r="G29" s="51" t="n">
        <v>-30.46</v>
      </c>
      <c r="H29" s="51" t="n"/>
      <c r="I29" s="30" t="n">
        <v>134.658586</v>
      </c>
      <c r="J29" s="51" t="n">
        <v>213.385</v>
      </c>
      <c r="K29" s="52">
        <f>IF(AND(B29="SELL",E29&gt;0,J29&lt;&gt;""),J29/E29,0)</f>
        <v/>
      </c>
      <c r="L29" s="52" t="n">
        <v>0.2175</v>
      </c>
      <c r="M29" s="50">
        <f>IF(AND(B29="SELL",L29&gt;0),D29*L29,0)</f>
        <v/>
      </c>
      <c r="N29" s="46" t="inlineStr">
        <is>
          <t>Cambio Turale</t>
        </is>
      </c>
      <c r="O29" s="53">
        <f>IF(AND(B29="SELL",G29&lt;&gt;0),Q29/ABS(G29),0)</f>
        <v/>
      </c>
      <c r="P29" s="53">
        <f>IF(AND(B29="SELL",D29&gt;0),R29/D29,0)</f>
        <v/>
      </c>
      <c r="Q29" s="54">
        <f>IF(AND(B29="SELL",D29&gt;0,E29&gt;0),(D29/E29)+G29,0)</f>
        <v/>
      </c>
      <c r="R29" s="55">
        <f>IF(B29="SELL",Q29*F29,0)</f>
        <v/>
      </c>
      <c r="S29" s="35">
        <f>S28+R29</f>
        <v/>
      </c>
    </row>
    <row r="30" ht="15.75" customHeight="1" s="94">
      <c r="A30" s="36" t="n">
        <v>29</v>
      </c>
      <c r="B30" s="37" t="inlineStr">
        <is>
          <t>SELL</t>
        </is>
      </c>
      <c r="C30" s="38" t="n">
        <v>45891</v>
      </c>
      <c r="D30" s="39" t="n">
        <v>30000</v>
      </c>
      <c r="E30" s="40" t="n">
        <v>970.7</v>
      </c>
      <c r="F30" s="40" t="n">
        <v>969.9400000000001</v>
      </c>
      <c r="G30" s="41" t="n">
        <v>-30.5</v>
      </c>
      <c r="H30" s="41" t="n"/>
      <c r="I30" s="19" t="n">
        <v>104.158586</v>
      </c>
      <c r="J30" s="41" t="n">
        <v>213.1</v>
      </c>
      <c r="K30" s="42">
        <f>IF(AND(B30="SELL",E30&gt;0,J30&lt;&gt;""),J30/E30,0)</f>
        <v/>
      </c>
      <c r="L30" s="42" t="n">
        <v>0.2175</v>
      </c>
      <c r="M30" s="40">
        <f>IF(AND(B30="SELL",L30&gt;0),D30*L30,0)</f>
        <v/>
      </c>
      <c r="N30" s="36" t="inlineStr">
        <is>
          <t>Cambio paula ucla</t>
        </is>
      </c>
      <c r="O30" s="43">
        <f>IF(AND(B30="SELL",G30&lt;&gt;0),Q30/ABS(G30),0)</f>
        <v/>
      </c>
      <c r="P30" s="43">
        <f>IF(AND(B30="SELL",D30&gt;0),R30/D30,0)</f>
        <v/>
      </c>
      <c r="Q30" s="44">
        <f>IF(AND(B30="SELL",D30&gt;0,E30&gt;0),(D30/E30)+G30,0)</f>
        <v/>
      </c>
      <c r="R30" s="45">
        <f>IF(B30="SELL",Q30*F30,0)</f>
        <v/>
      </c>
      <c r="S30" s="24">
        <f>S29+R30</f>
        <v/>
      </c>
    </row>
    <row r="31" ht="15.75" customHeight="1" s="94">
      <c r="A31" s="46" t="n">
        <v>30</v>
      </c>
      <c r="B31" s="47" t="inlineStr">
        <is>
          <t>SELL</t>
        </is>
      </c>
      <c r="C31" s="48" t="n">
        <v>45892</v>
      </c>
      <c r="D31" s="49" t="n">
        <v>20000</v>
      </c>
      <c r="E31" s="50" t="n">
        <v>970.7</v>
      </c>
      <c r="F31" s="50" t="n">
        <v>969.9400000000001</v>
      </c>
      <c r="G31" s="51" t="n">
        <v>-19.93</v>
      </c>
      <c r="H31" s="51" t="n"/>
      <c r="I31" s="30" t="n">
        <v>84.22858600000001</v>
      </c>
      <c r="J31" s="51" t="n">
        <v>206.65</v>
      </c>
      <c r="K31" s="52">
        <f>IF(AND(B31="SELL",E31&gt;0,J31&lt;&gt;""),J31/E31,0)</f>
        <v/>
      </c>
      <c r="L31" s="52" t="n">
        <v>0.207</v>
      </c>
      <c r="M31" s="50">
        <f>IF(AND(B31="SELL",L31&gt;0),D31*L31,0)</f>
        <v/>
      </c>
      <c r="N31" s="46" t="inlineStr">
        <is>
          <t>Cambio Angel 2</t>
        </is>
      </c>
      <c r="O31" s="53">
        <f>IF(AND(B31="SELL",G31&lt;&gt;0),Q31/ABS(G31),0)</f>
        <v/>
      </c>
      <c r="P31" s="53">
        <f>IF(AND(B31="SELL",D31&gt;0),R31/D31,0)</f>
        <v/>
      </c>
      <c r="Q31" s="54">
        <f>IF(AND(B31="SELL",D31&gt;0,E31&gt;0),(D31/E31)+G31,0)</f>
        <v/>
      </c>
      <c r="R31" s="55">
        <f>IF(B31="SELL",Q31*F31,0)</f>
        <v/>
      </c>
      <c r="S31" s="35">
        <f>S30+R31</f>
        <v/>
      </c>
    </row>
    <row r="32" ht="15.75" customHeight="1" s="94">
      <c r="A32" s="36" t="n">
        <v>31</v>
      </c>
      <c r="B32" s="37" t="inlineStr">
        <is>
          <t>SELL</t>
        </is>
      </c>
      <c r="C32" s="38" t="n">
        <v>45892</v>
      </c>
      <c r="D32" s="39" t="n">
        <v>25000</v>
      </c>
      <c r="E32" s="40" t="n">
        <v>970.7</v>
      </c>
      <c r="F32" s="40" t="n">
        <v>969.9400000000001</v>
      </c>
      <c r="G32" s="41" t="n">
        <v>-24.93</v>
      </c>
      <c r="H32" s="41" t="n"/>
      <c r="I32" s="19" t="n">
        <v>59.298586</v>
      </c>
      <c r="J32" s="41" t="n">
        <v>206.5</v>
      </c>
      <c r="K32" s="42">
        <f>IF(AND(B32="SELL",E32&gt;0,J32&lt;&gt;""),J32/E32,0)</f>
        <v/>
      </c>
      <c r="L32" s="42" t="n">
        <v>0.207</v>
      </c>
      <c r="M32" s="40">
        <f>IF(AND(B32="SELL",L32&gt;0),D32*L32,0)</f>
        <v/>
      </c>
      <c r="N32" s="36" t="inlineStr">
        <is>
          <t>cambio pinky</t>
        </is>
      </c>
      <c r="O32" s="43">
        <f>IF(AND(B32="SELL",G32&lt;&gt;0),Q32/ABS(G32),0)</f>
        <v/>
      </c>
      <c r="P32" s="43">
        <f>IF(AND(B32="SELL",D32&gt;0),R32/D32,0)</f>
        <v/>
      </c>
      <c r="Q32" s="44">
        <f>IF(AND(B32="SELL",D32&gt;0,E32&gt;0),(D32/E32)+G32,0)</f>
        <v/>
      </c>
      <c r="R32" s="45">
        <f>IF(B32="SELL",Q32*F32,0)</f>
        <v/>
      </c>
      <c r="S32" s="24">
        <f>S31+R32</f>
        <v/>
      </c>
    </row>
    <row r="33" ht="15.75" customHeight="1" s="94">
      <c r="A33" s="46" t="n">
        <v>32</v>
      </c>
      <c r="B33" s="47" t="inlineStr">
        <is>
          <t>SELL</t>
        </is>
      </c>
      <c r="C33" s="48" t="n">
        <v>45892</v>
      </c>
      <c r="D33" s="49" t="n">
        <v>31250</v>
      </c>
      <c r="E33" s="50" t="n">
        <v>970.7</v>
      </c>
      <c r="F33" s="50" t="n">
        <v>969.9400000000001</v>
      </c>
      <c r="G33" s="51" t="n">
        <v>-30.55</v>
      </c>
      <c r="H33" s="51" t="n"/>
      <c r="I33" s="30" t="n">
        <v>28.748586</v>
      </c>
      <c r="J33" s="51" t="n">
        <v>3926.97</v>
      </c>
      <c r="K33" s="52">
        <f>IF(AND(B33="SELL",E33&gt;0,J33&lt;&gt;""),J33/E33,0)</f>
        <v/>
      </c>
      <c r="L33" s="52" t="n">
        <v>3.84</v>
      </c>
      <c r="M33" s="50">
        <f>IF(AND(B33="SELL",L33&gt;0),D33*L33,0)</f>
        <v/>
      </c>
      <c r="N33" s="46" t="inlineStr">
        <is>
          <t>cambio angel Col</t>
        </is>
      </c>
      <c r="O33" s="53">
        <f>IF(AND(B33="SELL",G33&lt;&gt;0),Q33/ABS(G33),0)</f>
        <v/>
      </c>
      <c r="P33" s="53">
        <f>IF(AND(B33="SELL",D33&gt;0),R33/D33,0)</f>
        <v/>
      </c>
      <c r="Q33" s="54">
        <f>IF(AND(B33="SELL",D33&gt;0,E33&gt;0),(D33/E33)+G33,0)</f>
        <v/>
      </c>
      <c r="R33" s="55">
        <f>IF(B33="SELL",Q33*F33,0)</f>
        <v/>
      </c>
      <c r="S33" s="35">
        <f>S32+R33</f>
        <v/>
      </c>
    </row>
    <row r="34" ht="15.75" customHeight="1" s="94">
      <c r="A34" s="14" t="n">
        <v>33</v>
      </c>
      <c r="B34" s="15" t="inlineStr">
        <is>
          <t>BUY</t>
        </is>
      </c>
      <c r="C34" s="16" t="n"/>
      <c r="D34" s="17" t="n">
        <v>220000</v>
      </c>
      <c r="E34" s="18" t="n">
        <v>962.96</v>
      </c>
      <c r="F34" s="18" t="n">
        <v>962.96</v>
      </c>
      <c r="G34" s="19" t="n">
        <v>228.46</v>
      </c>
      <c r="H34" s="19" t="n"/>
      <c r="I34" s="19" t="n">
        <v>257.208586</v>
      </c>
      <c r="J34" s="19" t="n"/>
      <c r="K34" s="20">
        <f>IF(AND(B34="SELL",E34&gt;0,J34&lt;&gt;""),J34/E34,0)</f>
        <v/>
      </c>
      <c r="L34" s="20" t="n"/>
      <c r="M34" s="18">
        <f>IF(AND(B34="SELL",L34&gt;0),D34*L34,0)</f>
        <v/>
      </c>
      <c r="N34" s="14" t="n"/>
      <c r="O34" s="21">
        <f>IF(AND(B34="SELL",G34&lt;&gt;0),Q34/ABS(G34),0)</f>
        <v/>
      </c>
      <c r="P34" s="21">
        <f>IF(AND(B34="SELL",D34&gt;0),R34/D34,0)</f>
        <v/>
      </c>
      <c r="Q34" s="22">
        <f>IF(AND(B34="SELL",D34&gt;0,E34&gt;0),(D34/E34)+G34,0)</f>
        <v/>
      </c>
      <c r="R34" s="23">
        <f>IF(B34="SELL",Q34*F34,0)</f>
        <v/>
      </c>
      <c r="S34" s="24">
        <f>S33+R34</f>
        <v/>
      </c>
    </row>
    <row r="35" ht="15.75" customHeight="1" s="94">
      <c r="A35" s="46" t="n">
        <v>34</v>
      </c>
      <c r="B35" s="47" t="inlineStr">
        <is>
          <t>SELL</t>
        </is>
      </c>
      <c r="C35" s="48" t="n">
        <v>45893</v>
      </c>
      <c r="D35" s="49" t="n">
        <v>30000</v>
      </c>
      <c r="E35" s="50" t="n">
        <v>962.96</v>
      </c>
      <c r="F35" s="50" t="n">
        <v>962.96</v>
      </c>
      <c r="G35" s="51" t="n">
        <v>-29.466</v>
      </c>
      <c r="H35" s="51" t="n"/>
      <c r="I35" s="30" t="n">
        <v>227.742586</v>
      </c>
      <c r="J35" s="51" t="n">
        <v>208.7</v>
      </c>
      <c r="K35" s="52">
        <f>IF(AND(B35="SELL",E35&gt;0,J35&lt;&gt;""),J35/E35,0)</f>
        <v/>
      </c>
      <c r="L35" s="52" t="n">
        <v>0.205</v>
      </c>
      <c r="M35" s="50">
        <f>IF(AND(B35="SELL",L35&gt;0),D35*L35,0)</f>
        <v/>
      </c>
      <c r="N35" s="46" t="inlineStr">
        <is>
          <t>cambio angel</t>
        </is>
      </c>
      <c r="O35" s="53">
        <f>IF(AND(B35="SELL",G35&lt;&gt;0),Q35/ABS(G35),0)</f>
        <v/>
      </c>
      <c r="P35" s="53">
        <f>IF(AND(B35="SELL",D35&gt;0),R35/D35,0)</f>
        <v/>
      </c>
      <c r="Q35" s="54">
        <f>IF(AND(B35="SELL",D35&gt;0,E35&gt;0),(D35/E35)+G35,0)</f>
        <v/>
      </c>
      <c r="R35" s="55">
        <f>IF(B35="SELL",Q35*F35,0)</f>
        <v/>
      </c>
      <c r="S35" s="35">
        <f>S34+R35</f>
        <v/>
      </c>
    </row>
    <row r="36" ht="15.75" customHeight="1" s="94">
      <c r="A36" s="36" t="n">
        <v>35</v>
      </c>
      <c r="B36" s="37" t="inlineStr">
        <is>
          <t>SELL</t>
        </is>
      </c>
      <c r="C36" s="38" t="n">
        <v>45893</v>
      </c>
      <c r="D36" s="39" t="n">
        <v>30000</v>
      </c>
      <c r="E36" s="40" t="n">
        <v>962.96</v>
      </c>
      <c r="F36" s="40" t="n">
        <v>962.96</v>
      </c>
      <c r="G36" s="41" t="n">
        <v>-29.466</v>
      </c>
      <c r="H36" s="41" t="n"/>
      <c r="I36" s="19" t="n">
        <v>198.276586</v>
      </c>
      <c r="J36" s="41" t="n">
        <v>208.7</v>
      </c>
      <c r="K36" s="42">
        <f>IF(AND(B36="SELL",E36&gt;0,J36&lt;&gt;""),J36/E36,0)</f>
        <v/>
      </c>
      <c r="L36" s="42" t="n">
        <v>0.205</v>
      </c>
      <c r="M36" s="40">
        <f>IF(AND(B36="SELL",L36&gt;0),D36*L36,0)</f>
        <v/>
      </c>
      <c r="N36" s="36" t="inlineStr">
        <is>
          <t>cambio paula jesus</t>
        </is>
      </c>
      <c r="O36" s="43">
        <f>IF(AND(B36="SELL",G36&lt;&gt;0),Q36/ABS(G36),0)</f>
        <v/>
      </c>
      <c r="P36" s="43">
        <f>IF(AND(B36="SELL",D36&gt;0),R36/D36,0)</f>
        <v/>
      </c>
      <c r="Q36" s="44">
        <f>IF(AND(B36="SELL",D36&gt;0,E36&gt;0),(D36/E36)+G36,0)</f>
        <v/>
      </c>
      <c r="R36" s="45">
        <f>IF(B36="SELL",Q36*F36,0)</f>
        <v/>
      </c>
      <c r="S36" s="24">
        <f>S35+R36</f>
        <v/>
      </c>
    </row>
    <row r="37" ht="15.75" customHeight="1" s="94">
      <c r="A37" s="46" t="n">
        <v>36</v>
      </c>
      <c r="B37" s="47" t="inlineStr">
        <is>
          <t>SELL</t>
        </is>
      </c>
      <c r="C37" s="48" t="n">
        <v>45893</v>
      </c>
      <c r="D37" s="49" t="n">
        <v>40000</v>
      </c>
      <c r="E37" s="50" t="n">
        <v>962.96</v>
      </c>
      <c r="F37" s="50" t="n">
        <v>962.96</v>
      </c>
      <c r="G37" s="51" t="n">
        <v>-39.88</v>
      </c>
      <c r="H37" s="51" t="n"/>
      <c r="I37" s="30" t="n">
        <v>158.396586</v>
      </c>
      <c r="J37" s="51" t="n">
        <v>208.7</v>
      </c>
      <c r="K37" s="52">
        <f>IF(AND(B37="SELL",E37&gt;0,J37&lt;&gt;""),J37/E37,0)</f>
        <v/>
      </c>
      <c r="L37" s="52" t="n">
        <v>0.205</v>
      </c>
      <c r="M37" s="50">
        <f>IF(AND(B37="SELL",L37&gt;0),D37*L37,0)</f>
        <v/>
      </c>
      <c r="N37" s="46" t="inlineStr">
        <is>
          <t>cambio mama</t>
        </is>
      </c>
      <c r="O37" s="53">
        <f>IF(AND(B37="SELL",G37&lt;&gt;0),Q37/ABS(G37),0)</f>
        <v/>
      </c>
      <c r="P37" s="53">
        <f>IF(AND(B37="SELL",D37&gt;0),R37/D37,0)</f>
        <v/>
      </c>
      <c r="Q37" s="54">
        <f>IF(AND(B37="SELL",D37&gt;0,E37&gt;0),(D37/E37)+G37,0)</f>
        <v/>
      </c>
      <c r="R37" s="55">
        <f>IF(B37="SELL",Q37*F37,0)</f>
        <v/>
      </c>
      <c r="S37" s="35">
        <f>S36+R37</f>
        <v/>
      </c>
    </row>
    <row r="38" ht="15.75" customHeight="1" s="94">
      <c r="A38" s="14" t="n">
        <v>37</v>
      </c>
      <c r="B38" s="15" t="inlineStr">
        <is>
          <t>BUY</t>
        </is>
      </c>
      <c r="C38" s="16" t="n">
        <v>45893</v>
      </c>
      <c r="D38" s="17" t="n">
        <v>106500</v>
      </c>
      <c r="E38" s="18" t="n">
        <v>960.79</v>
      </c>
      <c r="F38" s="18" t="n">
        <v>960.79</v>
      </c>
      <c r="G38" s="19" t="n">
        <v>110.78</v>
      </c>
      <c r="H38" s="19" t="n"/>
      <c r="I38" s="19" t="n">
        <v>269.176586</v>
      </c>
      <c r="J38" s="19" t="n"/>
      <c r="K38" s="20">
        <f>IF(AND(B38="SELL",E38&gt;0,J38&lt;&gt;""),J38/E38,0)</f>
        <v/>
      </c>
      <c r="L38" s="20" t="n"/>
      <c r="M38" s="18">
        <f>IF(AND(B38="SELL",L38&gt;0),D38*L38,0)</f>
        <v/>
      </c>
      <c r="N38" s="14" t="n"/>
      <c r="O38" s="21">
        <f>IF(AND(B38="SELL",G38&lt;&gt;0),Q38/ABS(G38),0)</f>
        <v/>
      </c>
      <c r="P38" s="21">
        <f>IF(AND(B38="SELL",D38&gt;0),R38/D38,0)</f>
        <v/>
      </c>
      <c r="Q38" s="22">
        <f>IF(AND(B38="SELL",D38&gt;0,E38&gt;0),(D38/E38)+G38,0)</f>
        <v/>
      </c>
      <c r="R38" s="23">
        <f>IF(B38="SELL",Q38*F38,0)</f>
        <v/>
      </c>
      <c r="S38" s="24">
        <f>S37+R38</f>
        <v/>
      </c>
    </row>
    <row r="39" ht="15.75" customHeight="1" s="94">
      <c r="A39" s="46" t="n">
        <v>38</v>
      </c>
      <c r="B39" s="47" t="inlineStr">
        <is>
          <t>SELL</t>
        </is>
      </c>
      <c r="C39" s="48" t="n">
        <v>45895</v>
      </c>
      <c r="D39" s="49" t="n">
        <v>20000</v>
      </c>
      <c r="E39" s="50" t="n">
        <v>960.79</v>
      </c>
      <c r="F39" s="50" t="n">
        <v>960.79</v>
      </c>
      <c r="G39" s="51" t="n">
        <v>-19.88</v>
      </c>
      <c r="H39" s="51" t="n"/>
      <c r="I39" s="30" t="n">
        <v>249.296586</v>
      </c>
      <c r="J39" s="51" t="n">
        <v>3.42</v>
      </c>
      <c r="K39" s="52">
        <f>IF(AND(B39="SELL",E39&gt;0,J39&lt;&gt;""),J39/E39,0)</f>
        <v/>
      </c>
      <c r="L39" s="52" t="n">
        <v>0.0034</v>
      </c>
      <c r="M39" s="50">
        <f>IF(AND(B39="SELL",L39&gt;0),D39*L39,0)</f>
        <v/>
      </c>
      <c r="N39" s="46" t="inlineStr">
        <is>
          <t>cambio oshetrup</t>
        </is>
      </c>
      <c r="O39" s="53">
        <f>IF(AND(B39="SELL",G39&lt;&gt;0),Q39/ABS(G39),0)</f>
        <v/>
      </c>
      <c r="P39" s="53">
        <f>IF(AND(B39="SELL",D39&gt;0),R39/D39,0)</f>
        <v/>
      </c>
      <c r="Q39" s="54">
        <f>IF(AND(B39="SELL",D39&gt;0,E39&gt;0),(D39/E39)+G39,0)</f>
        <v/>
      </c>
      <c r="R39" s="55">
        <f>IF(B39="SELL",Q39*F39,0)</f>
        <v/>
      </c>
      <c r="S39" s="35">
        <f>S38+R39</f>
        <v/>
      </c>
    </row>
    <row r="40" ht="15.75" customHeight="1" s="94">
      <c r="A40" s="36" t="n">
        <v>39</v>
      </c>
      <c r="B40" s="37" t="inlineStr">
        <is>
          <t>SELL</t>
        </is>
      </c>
      <c r="C40" s="38" t="n">
        <v>45896</v>
      </c>
      <c r="D40" s="39" t="n">
        <v>30000</v>
      </c>
      <c r="E40" s="40" t="n">
        <v>960.79</v>
      </c>
      <c r="F40" s="40" t="n">
        <v>960.79</v>
      </c>
      <c r="G40" s="41" t="n">
        <v>-29.54</v>
      </c>
      <c r="H40" s="41" t="n"/>
      <c r="I40" s="19" t="n">
        <v>219.756586</v>
      </c>
      <c r="J40" s="41" t="n">
        <v>215.301</v>
      </c>
      <c r="K40" s="42">
        <f>IF(AND(B40="SELL",E40&gt;0,J40&lt;&gt;""),J40/E40,0)</f>
        <v/>
      </c>
      <c r="L40" s="42" t="n">
        <v>0.212</v>
      </c>
      <c r="M40" s="40">
        <f>IF(AND(B40="SELL",L40&gt;0),D40*L40,0)</f>
        <v/>
      </c>
      <c r="N40" s="36" t="inlineStr">
        <is>
          <t>cambio zulehyka</t>
        </is>
      </c>
      <c r="O40" s="43">
        <f>IF(AND(B40="SELL",G40&lt;&gt;0),Q40/ABS(G40),0)</f>
        <v/>
      </c>
      <c r="P40" s="43">
        <f>IF(AND(B40="SELL",D40&gt;0),R40/D40,0)</f>
        <v/>
      </c>
      <c r="Q40" s="44">
        <f>IF(AND(B40="SELL",D40&gt;0,E40&gt;0),(D40/E40)+G40,0)</f>
        <v/>
      </c>
      <c r="R40" s="45">
        <f>IF(B40="SELL",Q40*F40,0)</f>
        <v/>
      </c>
      <c r="S40" s="24">
        <f>S39+R40</f>
        <v/>
      </c>
    </row>
    <row r="41" ht="15.75" customHeight="1" s="94">
      <c r="A41" s="46" t="n">
        <v>40</v>
      </c>
      <c r="B41" s="47" t="inlineStr">
        <is>
          <t>SELL</t>
        </is>
      </c>
      <c r="C41" s="48" t="n">
        <v>45896</v>
      </c>
      <c r="D41" s="49" t="n">
        <v>20000</v>
      </c>
      <c r="E41" s="50" t="n">
        <v>960.79</v>
      </c>
      <c r="F41" s="50" t="n">
        <v>960.79</v>
      </c>
      <c r="G41" s="51" t="n">
        <v>-20.15</v>
      </c>
      <c r="H41" s="51" t="n"/>
      <c r="I41" s="30" t="n">
        <v>199.606586</v>
      </c>
      <c r="J41" s="51" t="n">
        <v>210.39</v>
      </c>
      <c r="K41" s="52">
        <f>IF(AND(B41="SELL",E41&gt;0,J41&lt;&gt;""),J41/E41,0)</f>
        <v/>
      </c>
      <c r="L41" s="52" t="n">
        <v>0.212</v>
      </c>
      <c r="M41" s="50">
        <f>IF(AND(B41="SELL",L41&gt;0),D41*L41,0)</f>
        <v/>
      </c>
      <c r="N41" s="46" t="inlineStr">
        <is>
          <t>cambio angel</t>
        </is>
      </c>
      <c r="O41" s="53">
        <f>IF(AND(B41="SELL",G41&lt;&gt;0),Q41/ABS(G41),0)</f>
        <v/>
      </c>
      <c r="P41" s="53">
        <f>IF(AND(B41="SELL",D41&gt;0),R41/D41,0)</f>
        <v/>
      </c>
      <c r="Q41" s="54">
        <f>IF(AND(B41="SELL",D41&gt;0,E41&gt;0),(D41/E41)+G41,0)</f>
        <v/>
      </c>
      <c r="R41" s="55">
        <f>IF(B41="SELL",Q41*F41,0)</f>
        <v/>
      </c>
      <c r="S41" s="35">
        <f>S40+R41</f>
        <v/>
      </c>
    </row>
    <row r="42" ht="15.75" customHeight="1" s="94">
      <c r="A42" s="36" t="n">
        <v>41</v>
      </c>
      <c r="B42" s="37" t="inlineStr">
        <is>
          <t>SELL</t>
        </is>
      </c>
      <c r="C42" s="38" t="n">
        <v>45896</v>
      </c>
      <c r="D42" s="39" t="n">
        <v>20000</v>
      </c>
      <c r="E42" s="40" t="n">
        <v>960.79</v>
      </c>
      <c r="F42" s="40" t="n">
        <v>960.79</v>
      </c>
      <c r="G42" s="41" t="n">
        <v>-19.9</v>
      </c>
      <c r="H42" s="41" t="n"/>
      <c r="I42" s="19" t="n">
        <v>179.706586</v>
      </c>
      <c r="J42" s="41" t="n">
        <v>213</v>
      </c>
      <c r="K42" s="42">
        <f>IF(AND(B42="SELL",E42&gt;0,J42&lt;&gt;""),J42/E42,0)</f>
        <v/>
      </c>
      <c r="L42" s="42" t="n">
        <v>0.212</v>
      </c>
      <c r="M42" s="40">
        <f>IF(AND(B42="SELL",L42&gt;0),D42*L42,0)</f>
        <v/>
      </c>
      <c r="N42" s="36" t="inlineStr">
        <is>
          <t>cambio angel</t>
        </is>
      </c>
      <c r="O42" s="43">
        <f>IF(AND(B42="SELL",G42&lt;&gt;0),Q42/ABS(G42),0)</f>
        <v/>
      </c>
      <c r="P42" s="43">
        <f>IF(AND(B42="SELL",D42&gt;0),R42/D42,0)</f>
        <v/>
      </c>
      <c r="Q42" s="44">
        <f>IF(AND(B42="SELL",D42&gt;0,E42&gt;0),(D42/E42)+G42,0)</f>
        <v/>
      </c>
      <c r="R42" s="45">
        <f>IF(B42="SELL",Q42*F42,0)</f>
        <v/>
      </c>
      <c r="S42" s="24">
        <f>S41+R42</f>
        <v/>
      </c>
    </row>
    <row r="43" ht="15.75" customHeight="1" s="94">
      <c r="A43" s="46" t="n">
        <v>42</v>
      </c>
      <c r="B43" s="47" t="inlineStr">
        <is>
          <t>SELL</t>
        </is>
      </c>
      <c r="C43" s="48" t="n">
        <v>45896</v>
      </c>
      <c r="D43" s="49" t="n">
        <v>40000</v>
      </c>
      <c r="E43" s="50" t="n">
        <v>960.79</v>
      </c>
      <c r="F43" s="50" t="n">
        <v>960.79</v>
      </c>
      <c r="G43" s="51" t="n">
        <v>-39.65</v>
      </c>
      <c r="H43" s="51" t="n"/>
      <c r="I43" s="30" t="n">
        <v>140.056586</v>
      </c>
      <c r="J43" s="51" t="n">
        <v>214.1</v>
      </c>
      <c r="K43" s="52">
        <f>IF(AND(B43="SELL",E43&gt;0,J43&lt;&gt;""),J43/E43,0)</f>
        <v/>
      </c>
      <c r="L43" s="52" t="n">
        <v>0.212</v>
      </c>
      <c r="M43" s="50">
        <f>IF(AND(B43="SELL",L43&gt;0),D43*L43,0)</f>
        <v/>
      </c>
      <c r="N43" s="46" t="inlineStr">
        <is>
          <t>cambio angel</t>
        </is>
      </c>
      <c r="O43" s="53">
        <f>IF(AND(B43="SELL",G43&lt;&gt;0),Q43/ABS(G43),0)</f>
        <v/>
      </c>
      <c r="P43" s="53">
        <f>IF(AND(B43="SELL",D43&gt;0),R43/D43,0)</f>
        <v/>
      </c>
      <c r="Q43" s="54">
        <f>IF(AND(B43="SELL",D43&gt;0,E43&gt;0),(D43/E43)+G43,0)</f>
        <v/>
      </c>
      <c r="R43" s="55">
        <f>IF(B43="SELL",Q43*F43,0)</f>
        <v/>
      </c>
      <c r="S43" s="35">
        <f>S42+R43</f>
        <v/>
      </c>
    </row>
    <row r="44" ht="15.75" customHeight="1" s="94">
      <c r="A44" s="36" t="n">
        <v>43</v>
      </c>
      <c r="B44" s="37" t="inlineStr">
        <is>
          <t>SELL</t>
        </is>
      </c>
      <c r="C44" s="38" t="n">
        <v>45896</v>
      </c>
      <c r="D44" s="39" t="n">
        <v>66038</v>
      </c>
      <c r="E44" s="40" t="n">
        <v>960.79</v>
      </c>
      <c r="F44" s="40" t="n">
        <v>960.79</v>
      </c>
      <c r="G44" s="41" t="n">
        <v>-65.05</v>
      </c>
      <c r="H44" s="41" t="n"/>
      <c r="I44" s="19" t="n">
        <v>75.006586</v>
      </c>
      <c r="J44" s="41" t="n">
        <v>215.2</v>
      </c>
      <c r="K44" s="42">
        <f>IF(AND(B44="SELL",E44&gt;0,J44&lt;&gt;""),J44/E44,0)</f>
        <v/>
      </c>
      <c r="L44" s="42" t="n">
        <v>0.212</v>
      </c>
      <c r="M44" s="40">
        <f>IF(AND(B44="SELL",L44&gt;0),D44*L44,0)</f>
        <v/>
      </c>
      <c r="N44" s="36" t="inlineStr">
        <is>
          <t>cambio angel</t>
        </is>
      </c>
      <c r="O44" s="43">
        <f>IF(AND(B44="SELL",G44&lt;&gt;0),Q44/ABS(G44),0)</f>
        <v/>
      </c>
      <c r="P44" s="43">
        <f>IF(AND(B44="SELL",D44&gt;0),R44/D44,0)</f>
        <v/>
      </c>
      <c r="Q44" s="44">
        <f>IF(AND(B44="SELL",D44&gt;0,E44&gt;0),(D44/E44)+G44,0)</f>
        <v/>
      </c>
      <c r="R44" s="45">
        <f>IF(B44="SELL",Q44*F44,0)</f>
        <v/>
      </c>
      <c r="S44" s="24">
        <f>S43+R44</f>
        <v/>
      </c>
    </row>
    <row r="45" ht="15.75" customHeight="1" s="94">
      <c r="A45" s="46" t="n">
        <v>44</v>
      </c>
      <c r="B45" s="47" t="inlineStr">
        <is>
          <t>SELL</t>
        </is>
      </c>
      <c r="C45" s="48" t="n">
        <v>45896</v>
      </c>
      <c r="D45" s="49" t="n">
        <v>13962</v>
      </c>
      <c r="E45" s="50" t="n">
        <v>960.79</v>
      </c>
      <c r="F45" s="50" t="n">
        <v>960.79</v>
      </c>
      <c r="G45" s="51" t="n">
        <v>-13.88</v>
      </c>
      <c r="H45" s="51" t="n"/>
      <c r="I45" s="30" t="n">
        <v>61.126586</v>
      </c>
      <c r="J45" s="51" t="n">
        <v>213.21</v>
      </c>
      <c r="K45" s="52">
        <f>IF(AND(B45="SELL",E45&gt;0,J45&lt;&gt;""),J45/E45,0)</f>
        <v/>
      </c>
      <c r="L45" s="52" t="n">
        <v>0.212</v>
      </c>
      <c r="M45" s="50">
        <f>IF(AND(B45="SELL",L45&gt;0),D45*L45,0)</f>
        <v/>
      </c>
      <c r="N45" s="46" t="inlineStr">
        <is>
          <t>cambio turale</t>
        </is>
      </c>
      <c r="O45" s="53">
        <f>IF(AND(B45="SELL",G45&lt;&gt;0),Q45/ABS(G45),0)</f>
        <v/>
      </c>
      <c r="P45" s="53">
        <f>IF(AND(B45="SELL",D45&gt;0),R45/D45,0)</f>
        <v/>
      </c>
      <c r="Q45" s="54">
        <f>IF(AND(B45="SELL",D45&gt;0,E45&gt;0),(D45/E45)+G45,0)</f>
        <v/>
      </c>
      <c r="R45" s="55">
        <f>IF(B45="SELL",Q45*F45,0)</f>
        <v/>
      </c>
      <c r="S45" s="35">
        <f>S44+R45</f>
        <v/>
      </c>
    </row>
    <row r="46" ht="15.75" customHeight="1" s="94">
      <c r="A46" s="14" t="n">
        <v>45</v>
      </c>
      <c r="B46" s="15" t="inlineStr">
        <is>
          <t>BUY</t>
        </is>
      </c>
      <c r="C46" s="16" t="n">
        <v>45897</v>
      </c>
      <c r="D46" s="17" t="n">
        <v>350000</v>
      </c>
      <c r="E46" s="18" t="n">
        <v>970.5</v>
      </c>
      <c r="F46" s="18" t="n">
        <v>970.5</v>
      </c>
      <c r="G46" s="19" t="n">
        <v>360.63</v>
      </c>
      <c r="H46" s="19" t="n"/>
      <c r="I46" s="19" t="n">
        <v>421.756586</v>
      </c>
      <c r="J46" s="19" t="n"/>
      <c r="K46" s="20">
        <f>IF(AND(B46="SELL",E46&gt;0,J46&lt;&gt;""),J46/E46,0)</f>
        <v/>
      </c>
      <c r="L46" s="20" t="n"/>
      <c r="M46" s="18">
        <f>IF(AND(B46="SELL",L46&gt;0),D46*L46,0)</f>
        <v/>
      </c>
      <c r="N46" s="14" t="n"/>
      <c r="O46" s="21">
        <f>IF(AND(B46="SELL",G46&lt;&gt;0),Q46/ABS(G46),0)</f>
        <v/>
      </c>
      <c r="P46" s="21">
        <f>IF(AND(B46="SELL",D46&gt;0),R46/D46,0)</f>
        <v/>
      </c>
      <c r="Q46" s="22">
        <f>IF(AND(B46="SELL",D46&gt;0,E46&gt;0),(D46/E46)+G46,0)</f>
        <v/>
      </c>
      <c r="R46" s="23">
        <f>IF(B46="SELL",Q46*F46,0)</f>
        <v/>
      </c>
      <c r="S46" s="24">
        <f>S45+R46</f>
        <v/>
      </c>
    </row>
    <row r="47" ht="15.75" customHeight="1" s="94">
      <c r="A47" s="46" t="n">
        <v>46</v>
      </c>
      <c r="B47" s="47" t="inlineStr">
        <is>
          <t>SELL</t>
        </is>
      </c>
      <c r="C47" s="48" t="n">
        <v>45897</v>
      </c>
      <c r="D47" s="49" t="n">
        <v>140000</v>
      </c>
      <c r="E47" s="50" t="n">
        <v>970.5</v>
      </c>
      <c r="F47" s="50" t="n">
        <v>970.5</v>
      </c>
      <c r="G47" s="51" t="n">
        <v>-138</v>
      </c>
      <c r="H47" s="51" t="n"/>
      <c r="I47" s="30" t="n">
        <v>283.756586</v>
      </c>
      <c r="J47" s="51" t="n">
        <v>206.58</v>
      </c>
      <c r="K47" s="52">
        <f>IF(AND(B47="SELL",E47&gt;0,J47&lt;&gt;""),J47/E47,0)</f>
        <v/>
      </c>
      <c r="L47" s="52" t="n">
        <v>0.21</v>
      </c>
      <c r="M47" s="50">
        <f>IF(AND(B47="SELL",L47&gt;0),D47*L47,0)</f>
        <v/>
      </c>
      <c r="N47" s="46" t="inlineStr">
        <is>
          <t>cambio angel</t>
        </is>
      </c>
      <c r="O47" s="53">
        <f>IF(AND(B47="SELL",G47&lt;&gt;0),Q47/ABS(G47),0)</f>
        <v/>
      </c>
      <c r="P47" s="53">
        <f>IF(AND(B47="SELL",D47&gt;0),R47/D47,0)</f>
        <v/>
      </c>
      <c r="Q47" s="54">
        <f>IF(AND(B47="SELL",D47&gt;0,E47&gt;0),(D47/E47)+G47,0)</f>
        <v/>
      </c>
      <c r="R47" s="55">
        <f>IF(B47="SELL",Q47*F47,0)</f>
        <v/>
      </c>
      <c r="S47" s="35">
        <f>S46+R47</f>
        <v/>
      </c>
    </row>
    <row r="48" ht="15.75" customHeight="1" s="94">
      <c r="A48" s="36" t="n">
        <v>47</v>
      </c>
      <c r="B48" s="37" t="inlineStr">
        <is>
          <t>SELL</t>
        </is>
      </c>
      <c r="C48" s="38" t="n">
        <v>45897</v>
      </c>
      <c r="D48" s="39" t="n">
        <v>50000</v>
      </c>
      <c r="E48" s="40" t="n">
        <v>970.5</v>
      </c>
      <c r="F48" s="40" t="n">
        <v>970.5</v>
      </c>
      <c r="G48" s="41" t="n">
        <v>-50.82</v>
      </c>
      <c r="H48" s="41" t="n"/>
      <c r="I48" s="19" t="n">
        <v>232.936586</v>
      </c>
      <c r="J48" s="41" t="n">
        <v>206.58</v>
      </c>
      <c r="K48" s="42">
        <f>IF(AND(B48="SELL",E48&gt;0,J48&lt;&gt;""),J48/E48,0)</f>
        <v/>
      </c>
      <c r="L48" s="42" t="n">
        <v>0.21</v>
      </c>
      <c r="M48" s="40">
        <f>IF(AND(B48="SELL",L48&gt;0),D48*L48,0)</f>
        <v/>
      </c>
      <c r="N48" s="36" t="inlineStr">
        <is>
          <t>cambio pinky</t>
        </is>
      </c>
      <c r="O48" s="43">
        <f>IF(AND(B48="SELL",G48&lt;&gt;0),Q48/ABS(G48),0)</f>
        <v/>
      </c>
      <c r="P48" s="43">
        <f>IF(AND(B48="SELL",D48&gt;0),R48/D48,0)</f>
        <v/>
      </c>
      <c r="Q48" s="44">
        <f>IF(AND(B48="SELL",D48&gt;0,E48&gt;0),(D48/E48)+G48,0)</f>
        <v/>
      </c>
      <c r="R48" s="45">
        <f>IF(B48="SELL",Q48*F48,0)</f>
        <v/>
      </c>
      <c r="S48" s="24">
        <f>S47+R48</f>
        <v/>
      </c>
    </row>
    <row r="49" ht="15.75" customHeight="1" s="94">
      <c r="A49" s="46" t="n">
        <v>48</v>
      </c>
      <c r="B49" s="47" t="inlineStr">
        <is>
          <t>SELL</t>
        </is>
      </c>
      <c r="C49" s="48" t="n">
        <v>45898</v>
      </c>
      <c r="D49" s="49" t="n">
        <v>50000</v>
      </c>
      <c r="E49" s="50" t="n">
        <v>970.5</v>
      </c>
      <c r="F49" s="50" t="n">
        <v>970.5</v>
      </c>
      <c r="G49" s="51" t="n">
        <v>-49.65</v>
      </c>
      <c r="H49" s="51" t="n"/>
      <c r="I49" s="30" t="n">
        <v>183.286586</v>
      </c>
      <c r="J49" s="51" t="n">
        <v>205.4</v>
      </c>
      <c r="K49" s="52">
        <f>IF(AND(B49="SELL",E49&gt;0,J49&lt;&gt;""),J49/E49,0)</f>
        <v/>
      </c>
      <c r="L49" s="52" t="n">
        <v>0.204</v>
      </c>
      <c r="M49" s="50">
        <f>IF(AND(B49="SELL",L49&gt;0),D49*L49,0)</f>
        <v/>
      </c>
      <c r="N49" s="46" t="inlineStr">
        <is>
          <t>cambio paula</t>
        </is>
      </c>
      <c r="O49" s="53">
        <f>IF(AND(B49="SELL",G49&lt;&gt;0),Q49/ABS(G49),0)</f>
        <v/>
      </c>
      <c r="P49" s="53">
        <f>IF(AND(B49="SELL",D49&gt;0),R49/D49,0)</f>
        <v/>
      </c>
      <c r="Q49" s="54">
        <f>IF(AND(B49="SELL",D49&gt;0,E49&gt;0),(D49/E49)+G49,0)</f>
        <v/>
      </c>
      <c r="R49" s="55">
        <f>IF(B49="SELL",Q49*F49,0)</f>
        <v/>
      </c>
      <c r="S49" s="35">
        <f>S48+R49</f>
        <v/>
      </c>
    </row>
    <row r="50" ht="15.75" customHeight="1" s="94">
      <c r="A50" s="36" t="n">
        <v>49</v>
      </c>
      <c r="B50" s="37" t="inlineStr">
        <is>
          <t>SELL</t>
        </is>
      </c>
      <c r="C50" s="38" t="n">
        <v>45898</v>
      </c>
      <c r="D50" s="39" t="n">
        <v>30000</v>
      </c>
      <c r="E50" s="40" t="n">
        <v>970.5</v>
      </c>
      <c r="F50" s="40" t="n">
        <v>970.5</v>
      </c>
      <c r="G50" s="41" t="n">
        <v>-29.84</v>
      </c>
      <c r="H50" s="41" t="n"/>
      <c r="I50" s="19" t="n">
        <v>153.446586</v>
      </c>
      <c r="J50" s="41" t="n">
        <v>205.03</v>
      </c>
      <c r="K50" s="42">
        <f>IF(AND(B50="SELL",E50&gt;0,J50&lt;&gt;""),J50/E50,0)</f>
        <v/>
      </c>
      <c r="L50" s="42" t="n">
        <v>0.204</v>
      </c>
      <c r="M50" s="40">
        <f>IF(AND(B50="SELL",L50&gt;0),D50*L50,0)</f>
        <v/>
      </c>
      <c r="N50" s="36" t="inlineStr">
        <is>
          <t>cambio mama</t>
        </is>
      </c>
      <c r="O50" s="43">
        <f>IF(AND(B50="SELL",G50&lt;&gt;0),Q50/ABS(G50),0)</f>
        <v/>
      </c>
      <c r="P50" s="43">
        <f>IF(AND(B50="SELL",D50&gt;0),R50/D50,0)</f>
        <v/>
      </c>
      <c r="Q50" s="44">
        <f>IF(AND(B50="SELL",D50&gt;0,E50&gt;0),(D50/E50)+G50,0)</f>
        <v/>
      </c>
      <c r="R50" s="45">
        <f>IF(B50="SELL",Q50*F50,0)</f>
        <v/>
      </c>
      <c r="S50" s="24">
        <f>S49+R50</f>
        <v/>
      </c>
    </row>
    <row r="51" ht="15.75" customHeight="1" s="94">
      <c r="A51" s="46" t="n">
        <v>50</v>
      </c>
      <c r="B51" s="47" t="inlineStr">
        <is>
          <t>SELL</t>
        </is>
      </c>
      <c r="C51" s="48" t="n">
        <v>45898</v>
      </c>
      <c r="D51" s="49" t="n">
        <v>40000</v>
      </c>
      <c r="E51" s="50" t="n">
        <v>970.5</v>
      </c>
      <c r="F51" s="50" t="n">
        <v>970.5</v>
      </c>
      <c r="G51" s="51" t="n">
        <v>-40.49</v>
      </c>
      <c r="H51" s="51" t="n"/>
      <c r="I51" s="30" t="n">
        <v>112.956586</v>
      </c>
      <c r="J51" s="51" t="n">
        <v>201.5</v>
      </c>
      <c r="K51" s="52">
        <f>IF(AND(B51="SELL",E51&gt;0,J51&lt;&gt;""),J51/E51,0)</f>
        <v/>
      </c>
      <c r="L51" s="52" t="n">
        <v>0.204</v>
      </c>
      <c r="M51" s="50">
        <f>IF(AND(B51="SELL",L51&gt;0),D51*L51,0)</f>
        <v/>
      </c>
      <c r="N51" s="46" t="inlineStr">
        <is>
          <t>cambio paula</t>
        </is>
      </c>
      <c r="O51" s="53">
        <f>IF(AND(B51="SELL",G51&lt;&gt;0),Q51/ABS(G51),0)</f>
        <v/>
      </c>
      <c r="P51" s="53">
        <f>IF(AND(B51="SELL",D51&gt;0),R51/D51,0)</f>
        <v/>
      </c>
      <c r="Q51" s="54">
        <f>IF(AND(B51="SELL",D51&gt;0,E51&gt;0),(D51/E51)+G51,0)</f>
        <v/>
      </c>
      <c r="R51" s="55">
        <f>IF(B51="SELL",Q51*F51,0)</f>
        <v/>
      </c>
      <c r="S51" s="35">
        <f>S50+R51</f>
        <v/>
      </c>
    </row>
    <row r="52" ht="15.75" customHeight="1" s="94">
      <c r="A52" s="36" t="n">
        <v>51</v>
      </c>
      <c r="B52" s="37" t="inlineStr">
        <is>
          <t>SELL</t>
        </is>
      </c>
      <c r="C52" s="38" t="n">
        <v>45898</v>
      </c>
      <c r="D52" s="39" t="n">
        <v>44500</v>
      </c>
      <c r="E52" s="40" t="n">
        <v>970.5</v>
      </c>
      <c r="F52" s="40" t="n">
        <v>970.5</v>
      </c>
      <c r="G52" s="41" t="n">
        <v>-43.93</v>
      </c>
      <c r="H52" s="41" t="n"/>
      <c r="I52" s="19" t="n">
        <v>69.02658599999999</v>
      </c>
      <c r="J52" s="41" t="n">
        <v>200</v>
      </c>
      <c r="K52" s="42">
        <f>IF(AND(B52="SELL",E52&gt;0,J52&lt;&gt;""),J52/E52,0)</f>
        <v/>
      </c>
      <c r="L52" s="42" t="n">
        <v>0.197</v>
      </c>
      <c r="M52" s="40">
        <f>IF(AND(B52="SELL",L52&gt;0),D52*L52,0)</f>
        <v/>
      </c>
      <c r="N52" s="36" t="inlineStr">
        <is>
          <t>cambio stefi</t>
        </is>
      </c>
      <c r="O52" s="43">
        <f>IF(AND(B52="SELL",G52&lt;&gt;0),Q52/ABS(G52),0)</f>
        <v/>
      </c>
      <c r="P52" s="43">
        <f>IF(AND(B52="SELL",D52&gt;0),R52/D52,0)</f>
        <v/>
      </c>
      <c r="Q52" s="44">
        <f>IF(AND(B52="SELL",D52&gt;0,E52&gt;0),(D52/E52)+G52,0)</f>
        <v/>
      </c>
      <c r="R52" s="45">
        <f>IF(B52="SELL",Q52*F52,0)</f>
        <v/>
      </c>
      <c r="S52" s="24">
        <f>S51+R52</f>
        <v/>
      </c>
    </row>
    <row r="53" ht="15.75" customHeight="1" s="94">
      <c r="A53" s="46" t="n">
        <v>52</v>
      </c>
      <c r="B53" s="47" t="inlineStr">
        <is>
          <t>SELL</t>
        </is>
      </c>
      <c r="C53" s="48" t="n">
        <v>45899</v>
      </c>
      <c r="D53" s="49" t="n">
        <v>20000</v>
      </c>
      <c r="E53" s="50" t="n">
        <v>970.5</v>
      </c>
      <c r="F53" s="50" t="n">
        <v>970.5</v>
      </c>
      <c r="G53" s="51" t="n">
        <v>-19.44</v>
      </c>
      <c r="H53" s="51" t="n"/>
      <c r="I53" s="30" t="n">
        <v>49.586586</v>
      </c>
      <c r="J53" s="51" t="n">
        <v>198.51</v>
      </c>
      <c r="K53" s="52">
        <f>IF(AND(B53="SELL",E53&gt;0,J53&lt;&gt;""),J53/E53,0)</f>
        <v/>
      </c>
      <c r="L53" s="52" t="n">
        <v>0.193</v>
      </c>
      <c r="M53" s="50">
        <f>IF(AND(B53="SELL",L53&gt;0),D53*L53,0)</f>
        <v/>
      </c>
      <c r="N53" s="46" t="inlineStr">
        <is>
          <t>cambio paula</t>
        </is>
      </c>
      <c r="O53" s="53">
        <f>IF(AND(B53="SELL",G53&lt;&gt;0),Q53/ABS(G53),0)</f>
        <v/>
      </c>
      <c r="P53" s="53">
        <f>IF(AND(B53="SELL",D53&gt;0),R53/D53,0)</f>
        <v/>
      </c>
      <c r="Q53" s="54">
        <f>IF(AND(B53="SELL",D53&gt;0,E53&gt;0),(D53/E53)+G53,0)</f>
        <v/>
      </c>
      <c r="R53" s="55">
        <f>IF(B53="SELL",Q53*F53,0)</f>
        <v/>
      </c>
      <c r="S53" s="35">
        <f>S52+R53</f>
        <v/>
      </c>
    </row>
    <row r="54" ht="15.75" customHeight="1" s="94">
      <c r="A54" s="36" t="n">
        <v>53</v>
      </c>
      <c r="B54" s="37" t="inlineStr">
        <is>
          <t>SELL</t>
        </is>
      </c>
      <c r="C54" s="38" t="n">
        <v>45899</v>
      </c>
      <c r="D54" s="39" t="n">
        <v>50000</v>
      </c>
      <c r="E54" s="40" t="n">
        <v>970.5</v>
      </c>
      <c r="F54" s="40" t="n">
        <v>970.5</v>
      </c>
      <c r="G54" s="41" t="n">
        <v>-47.19</v>
      </c>
      <c r="H54" s="41" t="n"/>
      <c r="I54" s="19" t="n">
        <v>2.396586</v>
      </c>
      <c r="J54" s="41" t="n">
        <v>201.03</v>
      </c>
      <c r="K54" s="42">
        <f>IF(AND(B54="SELL",E54&gt;0,J54&lt;&gt;""),J54/E54,0)</f>
        <v/>
      </c>
      <c r="L54" s="42" t="n">
        <v>0.193</v>
      </c>
      <c r="M54" s="40">
        <f>IF(AND(B54="SELL",L54&gt;0),D54*L54,0)</f>
        <v/>
      </c>
      <c r="N54" s="36" t="inlineStr">
        <is>
          <t>cambio francisco</t>
        </is>
      </c>
      <c r="O54" s="43">
        <f>IF(AND(B54="SELL",G54&lt;&gt;0),Q54/ABS(G54),0)</f>
        <v/>
      </c>
      <c r="P54" s="43">
        <f>IF(AND(B54="SELL",D54&gt;0),R54/D54,0)</f>
        <v/>
      </c>
      <c r="Q54" s="44">
        <f>IF(AND(B54="SELL",D54&gt;0,E54&gt;0),(D54/E54)+G54,0)</f>
        <v/>
      </c>
      <c r="R54" s="45">
        <f>IF(B54="SELL",Q54*F54,0)</f>
        <v/>
      </c>
      <c r="S54" s="24">
        <f>S53+R54</f>
        <v/>
      </c>
    </row>
    <row r="55" ht="15.75" customHeight="1" s="94">
      <c r="A55" s="25" t="n">
        <v>54</v>
      </c>
      <c r="B55" s="26" t="inlineStr">
        <is>
          <t>BUY</t>
        </is>
      </c>
      <c r="C55" s="27" t="n">
        <v>45899</v>
      </c>
      <c r="D55" s="28" t="n">
        <v>300000</v>
      </c>
      <c r="E55" s="29" t="n">
        <v>974.14</v>
      </c>
      <c r="F55" s="29" t="n">
        <v>974.14</v>
      </c>
      <c r="G55" s="30" t="n">
        <v>307.96</v>
      </c>
      <c r="H55" s="30" t="n"/>
      <c r="I55" s="30" t="n">
        <v>310.356586</v>
      </c>
      <c r="J55" s="30" t="n"/>
      <c r="K55" s="31">
        <f>IF(AND(B55="SELL",E55&gt;0,J55&lt;&gt;""),J55/E55,0)</f>
        <v/>
      </c>
      <c r="L55" s="31" t="n"/>
      <c r="M55" s="29">
        <f>IF(AND(B55="SELL",L55&gt;0),D55*L55,0)</f>
        <v/>
      </c>
      <c r="N55" s="25" t="n"/>
      <c r="O55" s="32">
        <f>IF(AND(B55="SELL",G55&lt;&gt;0),Q55/ABS(G55),0)</f>
        <v/>
      </c>
      <c r="P55" s="32">
        <f>IF(AND(B55="SELL",D55&gt;0),R55/D55,0)</f>
        <v/>
      </c>
      <c r="Q55" s="33">
        <f>IF(AND(B55="SELL",D55&gt;0,E55&gt;0),(D55/E55)+G55,0)</f>
        <v/>
      </c>
      <c r="R55" s="34">
        <f>IF(B55="SELL",Q55*F55,0)</f>
        <v/>
      </c>
      <c r="S55" s="35">
        <f>S54+R55</f>
        <v/>
      </c>
    </row>
    <row r="56" ht="15.75" customHeight="1" s="94">
      <c r="A56" s="36" t="n">
        <v>55</v>
      </c>
      <c r="B56" s="37" t="inlineStr">
        <is>
          <t>SELL</t>
        </is>
      </c>
      <c r="C56" s="38" t="n">
        <v>45899</v>
      </c>
      <c r="D56" s="39" t="n">
        <v>60000</v>
      </c>
      <c r="E56" s="40" t="n">
        <v>974.14</v>
      </c>
      <c r="F56" s="40" t="n">
        <v>974.14</v>
      </c>
      <c r="G56" s="41" t="n">
        <v>-58.06</v>
      </c>
      <c r="H56" s="41" t="n"/>
      <c r="I56" s="19" t="n">
        <v>252.296586</v>
      </c>
      <c r="J56" s="41" t="n">
        <v>202.2</v>
      </c>
      <c r="K56" s="42">
        <f>IF(AND(B56="SELL",E56&gt;0,J56&lt;&gt;""),J56/E56,0)</f>
        <v/>
      </c>
      <c r="L56" s="42" t="n">
        <v>0.193</v>
      </c>
      <c r="M56" s="40">
        <f>IF(AND(B56="SELL",L56&gt;0),D56*L56,0)</f>
        <v/>
      </c>
      <c r="N56" s="36" t="inlineStr">
        <is>
          <t>cambio enyimar</t>
        </is>
      </c>
      <c r="O56" s="43">
        <f>IF(AND(B56="SELL",G56&lt;&gt;0),Q56/ABS(G56),0)</f>
        <v/>
      </c>
      <c r="P56" s="43">
        <f>IF(AND(B56="SELL",D56&gt;0),R56/D56,0)</f>
        <v/>
      </c>
      <c r="Q56" s="44">
        <f>IF(AND(B56="SELL",D56&gt;0,E56&gt;0),(D56/E56)+G56,0)</f>
        <v/>
      </c>
      <c r="R56" s="45">
        <f>IF(B56="SELL",Q56*F56,0)</f>
        <v/>
      </c>
      <c r="S56" s="24">
        <f>S55+R56</f>
        <v/>
      </c>
    </row>
    <row r="57" ht="15.75" customHeight="1" s="94">
      <c r="A57" s="46" t="n">
        <v>56</v>
      </c>
      <c r="B57" s="47" t="inlineStr">
        <is>
          <t>SELL</t>
        </is>
      </c>
      <c r="C57" s="48" t="n">
        <v>45899</v>
      </c>
      <c r="D57" s="49" t="n">
        <v>50000</v>
      </c>
      <c r="E57" s="50" t="n">
        <v>974.14</v>
      </c>
      <c r="F57" s="50" t="n">
        <v>974.14</v>
      </c>
      <c r="G57" s="51" t="n">
        <v>-48.05</v>
      </c>
      <c r="H57" s="51" t="n"/>
      <c r="I57" s="30" t="n">
        <v>204.246586</v>
      </c>
      <c r="J57" s="51" t="n">
        <v>201.02</v>
      </c>
      <c r="K57" s="52">
        <f>IF(AND(B57="SELL",E57&gt;0,J57&lt;&gt;""),J57/E57,0)</f>
        <v/>
      </c>
      <c r="L57" s="52" t="n">
        <v>0.193</v>
      </c>
      <c r="M57" s="50">
        <f>IF(AND(B57="SELL",L57&gt;0),D57*L57,0)</f>
        <v/>
      </c>
      <c r="N57" s="46" t="inlineStr">
        <is>
          <t>cambio pinky</t>
        </is>
      </c>
      <c r="O57" s="53">
        <f>IF(AND(B57="SELL",G57&lt;&gt;0),Q57/ABS(G57),0)</f>
        <v/>
      </c>
      <c r="P57" s="53">
        <f>IF(AND(B57="SELL",D57&gt;0),R57/D57,0)</f>
        <v/>
      </c>
      <c r="Q57" s="54">
        <f>IF(AND(B57="SELL",D57&gt;0,E57&gt;0),(D57/E57)+G57,0)</f>
        <v/>
      </c>
      <c r="R57" s="55">
        <f>IF(B57="SELL",Q57*F57,0)</f>
        <v/>
      </c>
      <c r="S57" s="35">
        <f>S56+R57</f>
        <v/>
      </c>
    </row>
    <row r="58" ht="15.75" customHeight="1" s="94">
      <c r="A58" s="36" t="n">
        <v>57</v>
      </c>
      <c r="B58" s="37" t="inlineStr">
        <is>
          <t>SELL</t>
        </is>
      </c>
      <c r="C58" s="38" t="n">
        <v>45899</v>
      </c>
      <c r="D58" s="39" t="n">
        <v>50000</v>
      </c>
      <c r="E58" s="40" t="n">
        <v>974.14</v>
      </c>
      <c r="F58" s="40" t="n">
        <v>974.14</v>
      </c>
      <c r="G58" s="41" t="n">
        <v>-49.53</v>
      </c>
      <c r="H58" s="41" t="n"/>
      <c r="I58" s="19" t="n">
        <v>154.716586</v>
      </c>
      <c r="J58" s="41" t="n">
        <v>195</v>
      </c>
      <c r="K58" s="42">
        <f>IF(AND(B58="SELL",E58&gt;0,J58&lt;&gt;""),J58/E58,0)</f>
        <v/>
      </c>
      <c r="L58" s="42" t="n">
        <v>0.193</v>
      </c>
      <c r="M58" s="40">
        <f>IF(AND(B58="SELL",L58&gt;0),D58*L58,0)</f>
        <v/>
      </c>
      <c r="N58" s="36" t="inlineStr">
        <is>
          <t>cambio turale</t>
        </is>
      </c>
      <c r="O58" s="43">
        <f>IF(AND(B58="SELL",G58&lt;&gt;0),Q58/ABS(G58),0)</f>
        <v/>
      </c>
      <c r="P58" s="43">
        <f>IF(AND(B58="SELL",D58&gt;0),R58/D58,0)</f>
        <v/>
      </c>
      <c r="Q58" s="44">
        <f>IF(AND(B58="SELL",D58&gt;0,E58&gt;0),(D58/E58)+G58,0)</f>
        <v/>
      </c>
      <c r="R58" s="45">
        <f>IF(B58="SELL",Q58*F58,0)</f>
        <v/>
      </c>
      <c r="S58" s="24">
        <f>S57+R58</f>
        <v/>
      </c>
    </row>
    <row r="59" ht="15.75" customHeight="1" s="94">
      <c r="A59" s="46" t="n">
        <v>58</v>
      </c>
      <c r="B59" s="47" t="inlineStr">
        <is>
          <t>SELL</t>
        </is>
      </c>
      <c r="C59" s="48" t="n">
        <v>45899</v>
      </c>
      <c r="D59" s="49" t="n">
        <v>27250</v>
      </c>
      <c r="E59" s="50" t="n">
        <v>974.14</v>
      </c>
      <c r="F59" s="50" t="n">
        <v>974.14</v>
      </c>
      <c r="G59" s="51" t="n">
        <v>-27.06</v>
      </c>
      <c r="H59" s="51" t="n"/>
      <c r="I59" s="30" t="n">
        <v>127.656586</v>
      </c>
      <c r="J59" s="51" t="n">
        <v>194.3</v>
      </c>
      <c r="K59" s="52">
        <f>IF(AND(B59="SELL",E59&gt;0,J59&lt;&gt;""),J59/E59,0)</f>
        <v/>
      </c>
      <c r="L59" s="52" t="n">
        <v>0.193</v>
      </c>
      <c r="M59" s="50">
        <f>IF(AND(B59="SELL",L59&gt;0),D59*L59,0)</f>
        <v/>
      </c>
      <c r="N59" s="46" t="inlineStr">
        <is>
          <t>cambio jasniel</t>
        </is>
      </c>
      <c r="O59" s="53">
        <f>IF(AND(B59="SELL",G59&lt;&gt;0),Q59/ABS(G59),0)</f>
        <v/>
      </c>
      <c r="P59" s="53">
        <f>IF(AND(B59="SELL",D59&gt;0),R59/D59,0)</f>
        <v/>
      </c>
      <c r="Q59" s="54">
        <f>IF(AND(B59="SELL",D59&gt;0,E59&gt;0),(D59/E59)+G59,0)</f>
        <v/>
      </c>
      <c r="R59" s="55">
        <f>IF(B59="SELL",Q59*F59,0)</f>
        <v/>
      </c>
      <c r="S59" s="35">
        <f>S58+R59</f>
        <v/>
      </c>
    </row>
    <row r="60" ht="15.75" customHeight="1" s="94">
      <c r="A60" s="36" t="n">
        <v>59</v>
      </c>
      <c r="B60" s="37" t="inlineStr">
        <is>
          <t>SELL</t>
        </is>
      </c>
      <c r="C60" s="38" t="n">
        <v>45900</v>
      </c>
      <c r="D60" s="39" t="n">
        <v>50000</v>
      </c>
      <c r="E60" s="40" t="n">
        <v>974.14</v>
      </c>
      <c r="F60" s="40" t="n">
        <v>974.14</v>
      </c>
      <c r="G60" s="41" t="n">
        <v>-48.07</v>
      </c>
      <c r="H60" s="41" t="n"/>
      <c r="I60" s="19" t="n">
        <v>79.586586</v>
      </c>
      <c r="J60" s="41" t="n">
        <v>203.255</v>
      </c>
      <c r="K60" s="42">
        <f>IF(AND(B60="SELL",E60&gt;0,J60&lt;&gt;""),J60/E60,0)</f>
        <v/>
      </c>
      <c r="L60" s="42" t="n">
        <v>0.198</v>
      </c>
      <c r="M60" s="40">
        <f>IF(AND(B60="SELL",L60&gt;0),D60*L60,0)</f>
        <v/>
      </c>
      <c r="N60" s="36" t="inlineStr">
        <is>
          <t>cambio zuleheyka</t>
        </is>
      </c>
      <c r="O60" s="43">
        <f>IF(AND(B60="SELL",G60&lt;&gt;0),Q60/ABS(G60),0)</f>
        <v/>
      </c>
      <c r="P60" s="43">
        <f>IF(AND(B60="SELL",D60&gt;0),R60/D60,0)</f>
        <v/>
      </c>
      <c r="Q60" s="44">
        <f>IF(AND(B60="SELL",D60&gt;0,E60&gt;0),(D60/E60)+G60,0)</f>
        <v/>
      </c>
      <c r="R60" s="45">
        <f>IF(B60="SELL",Q60*F60,0)</f>
        <v/>
      </c>
      <c r="S60" s="24">
        <f>S59+R60</f>
        <v/>
      </c>
    </row>
    <row r="61" ht="15.75" customHeight="1" s="94">
      <c r="A61" s="46" t="n">
        <v>60</v>
      </c>
      <c r="B61" s="47" t="inlineStr">
        <is>
          <t>SELL</t>
        </is>
      </c>
      <c r="C61" s="48" t="n">
        <v>45900</v>
      </c>
      <c r="D61" s="49" t="n">
        <v>60000</v>
      </c>
      <c r="E61" s="50" t="n">
        <v>974.14</v>
      </c>
      <c r="F61" s="50" t="n">
        <v>974.14</v>
      </c>
      <c r="G61" s="51" t="n">
        <v>-59.24</v>
      </c>
      <c r="H61" s="51" t="n"/>
      <c r="I61" s="30" t="n">
        <v>20.346586</v>
      </c>
      <c r="J61" s="51" t="n">
        <v>200.521</v>
      </c>
      <c r="K61" s="52">
        <f>IF(AND(B61="SELL",E61&gt;0,J61&lt;&gt;""),J61/E61,0)</f>
        <v/>
      </c>
      <c r="L61" s="52" t="n">
        <v>0.198</v>
      </c>
      <c r="M61" s="50">
        <f>IF(AND(B61="SELL",L61&gt;0),D61*L61,0)</f>
        <v/>
      </c>
      <c r="N61" s="46" t="inlineStr">
        <is>
          <t>cmbio turale</t>
        </is>
      </c>
      <c r="O61" s="53">
        <f>IF(AND(B61="SELL",G61&lt;&gt;0),Q61/ABS(G61),0)</f>
        <v/>
      </c>
      <c r="P61" s="53">
        <f>IF(AND(B61="SELL",D61&gt;0),R61/D61,0)</f>
        <v/>
      </c>
      <c r="Q61" s="54">
        <f>IF(AND(B61="SELL",D61&gt;0,E61&gt;0),(D61/E61)+G61,0)</f>
        <v/>
      </c>
      <c r="R61" s="55">
        <f>IF(B61="SELL",Q61*F61,0)</f>
        <v/>
      </c>
      <c r="S61" s="35">
        <f>S60+R61</f>
        <v/>
      </c>
    </row>
    <row r="63" ht="21.75" customHeight="1" s="94">
      <c r="A63" s="95" t="inlineStr">
        <is>
          <t>TOTALES — Agosto 2025</t>
        </is>
      </c>
      <c r="D63" s="56">
        <f>SUMIF(B2:B61,"SELL",D2:D61)</f>
        <v/>
      </c>
      <c r="G63" s="57">
        <f>COUNTIF(B2:B61,"SELL")</f>
        <v/>
      </c>
      <c r="I63" s="58">
        <f>I61</f>
        <v/>
      </c>
      <c r="Q63" s="58">
        <f>SUM(Q2:Q61)</f>
        <v/>
      </c>
      <c r="R63" s="59">
        <f>SUMIF(B2:B61,"SELL",R2:R61)</f>
        <v/>
      </c>
      <c r="S63" s="59">
        <f>S61</f>
        <v/>
      </c>
    </row>
  </sheetData>
  <mergeCells count="1">
    <mergeCell ref="A63:C6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25"/>
  <cols>
    <col width="5" customWidth="1" style="94" min="1" max="1"/>
    <col width="8" customWidth="1" style="94" min="2" max="2"/>
    <col width="11" customWidth="1" style="94" min="3" max="3"/>
    <col width="13" customWidth="1" style="94" min="4" max="6"/>
    <col width="10" customWidth="1" style="94" min="7" max="8"/>
    <col width="13" customWidth="1" style="94" min="9" max="10"/>
    <col width="11" customWidth="1" style="94" min="11" max="12"/>
    <col width="13" customWidth="1" style="94" min="13" max="13"/>
    <col width="20" customWidth="1" style="94" min="14" max="14"/>
    <col width="10" customWidth="1" style="94" min="15" max="16"/>
    <col width="13" customWidth="1" style="94" min="17" max="18"/>
    <col width="15" customWidth="1" style="94" min="19" max="19"/>
  </cols>
  <sheetData>
    <row r="1" ht="21.75" customHeight="1" s="94">
      <c r="A1" s="2" t="inlineStr">
        <is>
          <t>N°</t>
        </is>
      </c>
      <c r="B1" s="2" t="inlineStr">
        <is>
          <t>Tipo</t>
        </is>
      </c>
      <c r="C1" s="2" t="inlineStr">
        <is>
          <t>Fecha</t>
        </is>
      </c>
      <c r="D1" s="2" t="inlineStr">
        <is>
          <t>Monto CLP</t>
        </is>
      </c>
      <c r="E1" s="2" t="inlineStr">
        <is>
          <t>USDT/CLP Compra</t>
        </is>
      </c>
      <c r="F1" s="2" t="inlineStr">
        <is>
          <t>USDT/CLP Venta</t>
        </is>
      </c>
      <c r="G1" s="2" t="inlineStr">
        <is>
          <t>USDT Mov</t>
        </is>
      </c>
      <c r="H1" s="2" t="inlineStr">
        <is>
          <t>Tax Binance</t>
        </is>
      </c>
      <c r="I1" s="2" t="inlineStr">
        <is>
          <t>Capital USDT</t>
        </is>
      </c>
      <c r="J1" s="2" t="inlineStr">
        <is>
          <t>Tasa Destino</t>
        </is>
      </c>
      <c r="K1" s="2" t="inlineStr">
        <is>
          <t>Tasa Real</t>
        </is>
      </c>
      <c r="L1" s="2" t="inlineStr">
        <is>
          <t>Tasa IREMI</t>
        </is>
      </c>
      <c r="M1" s="2" t="inlineStr">
        <is>
          <t>Valor Destino</t>
        </is>
      </c>
      <c r="N1" s="2" t="inlineStr">
        <is>
          <t>Comentario</t>
        </is>
      </c>
      <c r="O1" s="2" t="inlineStr">
        <is>
          <t>% G USDT</t>
        </is>
      </c>
      <c r="P1" s="2" t="inlineStr">
        <is>
          <t>% G CLP</t>
        </is>
      </c>
      <c r="Q1" s="2" t="inlineStr">
        <is>
          <t>Ganancia USDT</t>
        </is>
      </c>
      <c r="R1" s="2" t="inlineStr">
        <is>
          <t>Ganancia CLP</t>
        </is>
      </c>
      <c r="S1" s="2" t="inlineStr">
        <is>
          <t>Acumulado SELL</t>
        </is>
      </c>
    </row>
    <row r="2" ht="15.75" customHeight="1" s="94">
      <c r="A2" s="14" t="n">
        <v>1</v>
      </c>
      <c r="B2" s="15" t="inlineStr">
        <is>
          <t>BUY</t>
        </is>
      </c>
      <c r="C2" s="16" t="n">
        <v>45901</v>
      </c>
      <c r="D2" s="17" t="n">
        <v>300000</v>
      </c>
      <c r="E2" s="18" t="n">
        <v>970</v>
      </c>
      <c r="F2" s="18" t="n">
        <v>970</v>
      </c>
      <c r="G2" s="19" t="n">
        <v>309.27</v>
      </c>
      <c r="H2" s="19" t="n"/>
      <c r="I2" s="19" t="n">
        <v>329.616585700254</v>
      </c>
      <c r="J2" s="19" t="n"/>
      <c r="K2" s="20">
        <f>IF(AND(B2="SELL",E2&gt;0,J2&lt;&gt;""),J2/E2,0)</f>
        <v/>
      </c>
      <c r="L2" s="20" t="n"/>
      <c r="M2" s="18">
        <f>IF(AND(B2="SELL",L2&gt;0),D2*L2,0)</f>
        <v/>
      </c>
      <c r="N2" s="14" t="n"/>
      <c r="O2" s="21">
        <f>IF(AND(B2="SELL",G2&lt;&gt;0),Q2/ABS(G2),0)</f>
        <v/>
      </c>
      <c r="P2" s="21">
        <f>IF(AND(B2="SELL",D2&gt;0),R2/D2,0)</f>
        <v/>
      </c>
      <c r="Q2" s="22">
        <f>IF(AND(B2="SELL",D2&gt;0,E2&gt;0),(D2/E2)+G2,0)</f>
        <v/>
      </c>
      <c r="R2" s="23">
        <f>IF(B2="SELL",Q2*F2,0)</f>
        <v/>
      </c>
      <c r="S2" s="24">
        <f>'Agosto 2025'!S61+R2</f>
        <v/>
      </c>
    </row>
    <row r="3" ht="15.75" customHeight="1" s="94">
      <c r="A3" s="46" t="n">
        <v>2</v>
      </c>
      <c r="B3" s="47" t="inlineStr">
        <is>
          <t>SELL</t>
        </is>
      </c>
      <c r="C3" s="48" t="n">
        <v>45901</v>
      </c>
      <c r="D3" s="49" t="n">
        <v>15000</v>
      </c>
      <c r="E3" s="50" t="n">
        <v>970</v>
      </c>
      <c r="F3" s="50" t="n">
        <v>970</v>
      </c>
      <c r="G3" s="51" t="n">
        <v>-15.01</v>
      </c>
      <c r="H3" s="51" t="n"/>
      <c r="I3" s="30" t="n">
        <v>314.606585700254</v>
      </c>
      <c r="J3" s="51" t="n">
        <v>200.45</v>
      </c>
      <c r="K3" s="52">
        <f>IF(AND(B3="SELL",E3&gt;0,J3&lt;&gt;""),J3/E3,0)</f>
        <v/>
      </c>
      <c r="L3" s="52" t="n">
        <v>0.2</v>
      </c>
      <c r="M3" s="50">
        <f>IF(AND(B3="SELL",L3&gt;0),D3*L3,0)</f>
        <v/>
      </c>
      <c r="N3" s="46" t="inlineStr">
        <is>
          <t>cambio paula</t>
        </is>
      </c>
      <c r="O3" s="53">
        <f>IF(AND(B3="SELL",G3&lt;&gt;0),Q3/ABS(G3),0)</f>
        <v/>
      </c>
      <c r="P3" s="53">
        <f>IF(AND(B3="SELL",D3&gt;0),R3/D3,0)</f>
        <v/>
      </c>
      <c r="Q3" s="54">
        <f>IF(AND(B3="SELL",D3&gt;0,E3&gt;0),(D3/E3)+G3,0)</f>
        <v/>
      </c>
      <c r="R3" s="55">
        <f>IF(B3="SELL",Q3*F3,0)</f>
        <v/>
      </c>
      <c r="S3" s="35">
        <f>S2+R3</f>
        <v/>
      </c>
    </row>
    <row r="4" ht="15.75" customHeight="1" s="94">
      <c r="A4" s="36" t="n">
        <v>3</v>
      </c>
      <c r="B4" s="37" t="inlineStr">
        <is>
          <t>SELL</t>
        </is>
      </c>
      <c r="C4" s="38" t="n">
        <v>45901</v>
      </c>
      <c r="D4" s="39" t="n">
        <v>200000</v>
      </c>
      <c r="E4" s="40" t="n">
        <v>970</v>
      </c>
      <c r="F4" s="40" t="n">
        <v>970</v>
      </c>
      <c r="G4" s="41" t="n">
        <v>-191.9</v>
      </c>
      <c r="H4" s="41" t="n"/>
      <c r="I4" s="19" t="n">
        <v>122.706585700254</v>
      </c>
      <c r="J4" s="41" t="n">
        <v>0.86</v>
      </c>
      <c r="K4" s="42">
        <f>IF(AND(B4="SELL",E4&gt;0,J4&lt;&gt;""),J4/E4,0)</f>
        <v/>
      </c>
      <c r="L4" s="42" t="n">
        <v>0.000825</v>
      </c>
      <c r="M4" s="40">
        <f>IF(AND(B4="SELL",L4&gt;0),D4*L4,0)</f>
        <v/>
      </c>
      <c r="N4" s="36" t="inlineStr">
        <is>
          <t>cambio okunkule</t>
        </is>
      </c>
      <c r="O4" s="43">
        <f>IF(AND(B4="SELL",G4&lt;&gt;0),Q4/ABS(G4),0)</f>
        <v/>
      </c>
      <c r="P4" s="43">
        <f>IF(AND(B4="SELL",D4&gt;0),R4/D4,0)</f>
        <v/>
      </c>
      <c r="Q4" s="44">
        <f>IF(AND(B4="SELL",D4&gt;0,E4&gt;0),(D4/E4)+G4,0)</f>
        <v/>
      </c>
      <c r="R4" s="45">
        <f>IF(B4="SELL",Q4*F4,0)</f>
        <v/>
      </c>
      <c r="S4" s="24">
        <f>S3+R4</f>
        <v/>
      </c>
    </row>
    <row r="5" ht="15.75" customHeight="1" s="94">
      <c r="A5" s="46" t="n">
        <v>4</v>
      </c>
      <c r="B5" s="47" t="inlineStr">
        <is>
          <t>SELL</t>
        </is>
      </c>
      <c r="C5" s="48" t="n">
        <v>45902</v>
      </c>
      <c r="D5" s="49" t="n">
        <v>60000</v>
      </c>
      <c r="E5" s="50" t="n">
        <v>970</v>
      </c>
      <c r="F5" s="50" t="n">
        <v>970</v>
      </c>
      <c r="G5" s="51" t="n">
        <v>-58.81</v>
      </c>
      <c r="H5" s="51" t="n"/>
      <c r="I5" s="30" t="n">
        <v>63.8965857002541</v>
      </c>
      <c r="J5" s="51" t="n">
        <v>209.3</v>
      </c>
      <c r="K5" s="52">
        <f>IF(AND(B5="SELL",E5&gt;0,J5&lt;&gt;""),J5/E5,0)</f>
        <v/>
      </c>
      <c r="L5" s="52" t="n">
        <v>0.205</v>
      </c>
      <c r="M5" s="50">
        <f>IF(AND(B5="SELL",L5&gt;0),D5*L5,0)</f>
        <v/>
      </c>
      <c r="N5" s="46" t="inlineStr">
        <is>
          <t>cambio zuleyka</t>
        </is>
      </c>
      <c r="O5" s="53">
        <f>IF(AND(B5="SELL",G5&lt;&gt;0),Q5/ABS(G5),0)</f>
        <v/>
      </c>
      <c r="P5" s="53">
        <f>IF(AND(B5="SELL",D5&gt;0),R5/D5,0)</f>
        <v/>
      </c>
      <c r="Q5" s="54">
        <f>IF(AND(B5="SELL",D5&gt;0,E5&gt;0),(D5/E5)+G5,0)</f>
        <v/>
      </c>
      <c r="R5" s="55">
        <f>IF(B5="SELL",Q5*F5,0)</f>
        <v/>
      </c>
      <c r="S5" s="35">
        <f>S4+R5</f>
        <v/>
      </c>
    </row>
    <row r="6" ht="15.75" customHeight="1" s="94">
      <c r="A6" s="36" t="n">
        <v>5</v>
      </c>
      <c r="B6" s="37" t="inlineStr">
        <is>
          <t>SELL</t>
        </is>
      </c>
      <c r="C6" s="38" t="n">
        <v>45902</v>
      </c>
      <c r="D6" s="39" t="n">
        <v>65000</v>
      </c>
      <c r="E6" s="40" t="n">
        <v>970</v>
      </c>
      <c r="F6" s="40" t="n">
        <v>970</v>
      </c>
      <c r="G6" s="41" t="n">
        <v>-63.81</v>
      </c>
      <c r="H6" s="41" t="n"/>
      <c r="I6" s="19" t="n">
        <v>0.0865857002540622</v>
      </c>
      <c r="J6" s="41" t="n">
        <v>208.8</v>
      </c>
      <c r="K6" s="42">
        <f>IF(AND(B6="SELL",E6&gt;0,J6&lt;&gt;""),J6/E6,0)</f>
        <v/>
      </c>
      <c r="L6" s="42" t="n">
        <v>0.205</v>
      </c>
      <c r="M6" s="40">
        <f>IF(AND(B6="SELL",L6&gt;0),D6*L6,0)</f>
        <v/>
      </c>
      <c r="N6" s="36" t="inlineStr">
        <is>
          <t>cmabio yaka</t>
        </is>
      </c>
      <c r="O6" s="43">
        <f>IF(AND(B6="SELL",G6&lt;&gt;0),Q6/ABS(G6),0)</f>
        <v/>
      </c>
      <c r="P6" s="43">
        <f>IF(AND(B6="SELL",D6&gt;0),R6/D6,0)</f>
        <v/>
      </c>
      <c r="Q6" s="44">
        <f>IF(AND(B6="SELL",D6&gt;0,E6&gt;0),(D6/E6)+G6,0)</f>
        <v/>
      </c>
      <c r="R6" s="45">
        <f>IF(B6="SELL",Q6*F6,0)</f>
        <v/>
      </c>
      <c r="S6" s="24">
        <f>S5+R6</f>
        <v/>
      </c>
    </row>
    <row r="7" ht="15.75" customHeight="1" s="94">
      <c r="A7" s="25" t="n">
        <v>6</v>
      </c>
      <c r="B7" s="26" t="inlineStr">
        <is>
          <t>BUY</t>
        </is>
      </c>
      <c r="C7" s="27" t="n">
        <v>45902</v>
      </c>
      <c r="D7" s="28" t="n">
        <v>340000</v>
      </c>
      <c r="E7" s="29" t="n">
        <v>978.3</v>
      </c>
      <c r="F7" s="29" t="n">
        <v>978.3</v>
      </c>
      <c r="G7" s="30" t="n">
        <v>347.54</v>
      </c>
      <c r="H7" s="30" t="n"/>
      <c r="I7" s="30" t="n">
        <v>347.626585700254</v>
      </c>
      <c r="J7" s="30" t="n"/>
      <c r="K7" s="31">
        <f>IF(AND(B7="SELL",E7&gt;0,J7&lt;&gt;""),J7/E7,0)</f>
        <v/>
      </c>
      <c r="L7" s="31" t="n"/>
      <c r="M7" s="29">
        <f>IF(AND(B7="SELL",L7&gt;0),D7*L7,0)</f>
        <v/>
      </c>
      <c r="N7" s="25" t="n"/>
      <c r="O7" s="32">
        <f>IF(AND(B7="SELL",G7&lt;&gt;0),Q7/ABS(G7),0)</f>
        <v/>
      </c>
      <c r="P7" s="32">
        <f>IF(AND(B7="SELL",D7&gt;0),R7/D7,0)</f>
        <v/>
      </c>
      <c r="Q7" s="33">
        <f>IF(AND(B7="SELL",D7&gt;0,E7&gt;0),(D7/E7)+G7,0)</f>
        <v/>
      </c>
      <c r="R7" s="34">
        <f>IF(B7="SELL",Q7*F7,0)</f>
        <v/>
      </c>
      <c r="S7" s="35">
        <f>S6+R7</f>
        <v/>
      </c>
    </row>
    <row r="8" ht="15.75" customHeight="1" s="94">
      <c r="A8" s="36" t="n">
        <v>7</v>
      </c>
      <c r="B8" s="37" t="inlineStr">
        <is>
          <t>SELL</t>
        </is>
      </c>
      <c r="C8" s="38" t="n">
        <v>45902</v>
      </c>
      <c r="D8" s="39" t="n">
        <v>59000</v>
      </c>
      <c r="E8" s="40" t="n">
        <v>978.3</v>
      </c>
      <c r="F8" s="40" t="n">
        <v>978.3</v>
      </c>
      <c r="G8" s="41" t="n">
        <v>-57.58</v>
      </c>
      <c r="H8" s="41" t="n"/>
      <c r="I8" s="19" t="n">
        <v>290.046585700254</v>
      </c>
      <c r="J8" s="41" t="n">
        <v>209.0225</v>
      </c>
      <c r="K8" s="42">
        <f>IF(AND(B8="SELL",E8&gt;0,J8&lt;&gt;""),J8/E8,0)</f>
        <v/>
      </c>
      <c r="L8" s="42" t="n">
        <v>0.204</v>
      </c>
      <c r="M8" s="40">
        <f>IF(AND(B8="SELL",L8&gt;0),D8*L8,0)</f>
        <v/>
      </c>
      <c r="N8" s="36" t="inlineStr">
        <is>
          <t>cambio pinky</t>
        </is>
      </c>
      <c r="O8" s="43">
        <f>IF(AND(B8="SELL",G8&lt;&gt;0),Q8/ABS(G8),0)</f>
        <v/>
      </c>
      <c r="P8" s="43">
        <f>IF(AND(B8="SELL",D8&gt;0),R8/D8,0)</f>
        <v/>
      </c>
      <c r="Q8" s="44">
        <f>IF(AND(B8="SELL",D8&gt;0,E8&gt;0),(D8/E8)+G8,0)</f>
        <v/>
      </c>
      <c r="R8" s="45">
        <f>IF(B8="SELL",Q8*F8,0)</f>
        <v/>
      </c>
      <c r="S8" s="24">
        <f>S7+R8</f>
        <v/>
      </c>
    </row>
    <row r="9" ht="15.75" customHeight="1" s="94">
      <c r="A9" s="46" t="n">
        <v>8</v>
      </c>
      <c r="B9" s="47" t="inlineStr">
        <is>
          <t>SELL</t>
        </is>
      </c>
      <c r="C9" s="48" t="n">
        <v>45902</v>
      </c>
      <c r="D9" s="49" t="n">
        <v>120000</v>
      </c>
      <c r="E9" s="50" t="n">
        <v>978.3</v>
      </c>
      <c r="F9" s="50" t="n">
        <v>978.3</v>
      </c>
      <c r="G9" s="51" t="n">
        <v>-116.25</v>
      </c>
      <c r="H9" s="51" t="n"/>
      <c r="I9" s="30" t="n">
        <v>173.796585700254</v>
      </c>
      <c r="J9" s="51" t="n">
        <v>211.7</v>
      </c>
      <c r="K9" s="52">
        <f>IF(AND(B9="SELL",E9&gt;0,J9&lt;&gt;""),J9/E9,0)</f>
        <v/>
      </c>
      <c r="L9" s="52" t="n">
        <v>0.205</v>
      </c>
      <c r="M9" s="50">
        <f>IF(AND(B9="SELL",L9&gt;0),D9*L9,0)</f>
        <v/>
      </c>
      <c r="N9" s="46" t="inlineStr">
        <is>
          <t>cambio francisco y jasniel</t>
        </is>
      </c>
      <c r="O9" s="53">
        <f>IF(AND(B9="SELL",G9&lt;&gt;0),Q9/ABS(G9),0)</f>
        <v/>
      </c>
      <c r="P9" s="53">
        <f>IF(AND(B9="SELL",D9&gt;0),R9/D9,0)</f>
        <v/>
      </c>
      <c r="Q9" s="54">
        <f>IF(AND(B9="SELL",D9&gt;0,E9&gt;0),(D9/E9)+G9,0)</f>
        <v/>
      </c>
      <c r="R9" s="55">
        <f>IF(B9="SELL",Q9*F9,0)</f>
        <v/>
      </c>
      <c r="S9" s="35">
        <f>S8+R9</f>
        <v/>
      </c>
    </row>
    <row r="10" ht="15.75" customHeight="1" s="94">
      <c r="A10" s="36" t="n">
        <v>9</v>
      </c>
      <c r="B10" s="37" t="inlineStr">
        <is>
          <t>SELL</t>
        </is>
      </c>
      <c r="C10" s="38" t="n">
        <v>45902</v>
      </c>
      <c r="D10" s="39" t="n">
        <v>40000</v>
      </c>
      <c r="E10" s="40" t="n">
        <v>978.3</v>
      </c>
      <c r="F10" s="40" t="n">
        <v>978.3</v>
      </c>
      <c r="G10" s="41" t="n">
        <v>-39.06</v>
      </c>
      <c r="H10" s="41" t="n"/>
      <c r="I10" s="19" t="n">
        <v>134.736585700254</v>
      </c>
      <c r="J10" s="41" t="n">
        <v>210.2</v>
      </c>
      <c r="K10" s="42">
        <f>IF(AND(B10="SELL",E10&gt;0,J10&lt;&gt;""),J10/E10,0)</f>
        <v/>
      </c>
      <c r="L10" s="42" t="n">
        <v>0.205</v>
      </c>
      <c r="M10" s="40">
        <f>IF(AND(B10="SELL",L10&gt;0),D10*L10,0)</f>
        <v/>
      </c>
      <c r="N10" s="36" t="inlineStr">
        <is>
          <t>cambio para mi tia yari</t>
        </is>
      </c>
      <c r="O10" s="43">
        <f>IF(AND(B10="SELL",G10&lt;&gt;0),Q10/ABS(G10),0)</f>
        <v/>
      </c>
      <c r="P10" s="43">
        <f>IF(AND(B10="SELL",D10&gt;0),R10/D10,0)</f>
        <v/>
      </c>
      <c r="Q10" s="44">
        <f>IF(AND(B10="SELL",D10&gt;0,E10&gt;0),(D10/E10)+G10,0)</f>
        <v/>
      </c>
      <c r="R10" s="45">
        <f>IF(B10="SELL",Q10*F10,0)</f>
        <v/>
      </c>
      <c r="S10" s="24">
        <f>S9+R10</f>
        <v/>
      </c>
    </row>
    <row r="11" ht="15.75" customHeight="1" s="94">
      <c r="A11" s="25" t="n">
        <v>10</v>
      </c>
      <c r="B11" s="26" t="inlineStr">
        <is>
          <t>BUY</t>
        </is>
      </c>
      <c r="C11" s="27" t="n">
        <v>45902</v>
      </c>
      <c r="D11" s="28" t="n">
        <v>400000</v>
      </c>
      <c r="E11" s="29" t="n">
        <v>979.3</v>
      </c>
      <c r="F11" s="29" t="n">
        <v>979.3</v>
      </c>
      <c r="G11" s="30" t="n">
        <v>408.45</v>
      </c>
      <c r="H11" s="30" t="n"/>
      <c r="I11" s="30" t="n">
        <v>543.186585700254</v>
      </c>
      <c r="J11" s="30" t="n"/>
      <c r="K11" s="31">
        <f>IF(AND(B11="SELL",E11&gt;0,J11&lt;&gt;""),J11/E11,0)</f>
        <v/>
      </c>
      <c r="L11" s="31" t="n"/>
      <c r="M11" s="29">
        <f>IF(AND(B11="SELL",L11&gt;0),D11*L11,0)</f>
        <v/>
      </c>
      <c r="N11" s="25" t="n"/>
      <c r="O11" s="32">
        <f>IF(AND(B11="SELL",G11&lt;&gt;0),Q11/ABS(G11),0)</f>
        <v/>
      </c>
      <c r="P11" s="32">
        <f>IF(AND(B11="SELL",D11&gt;0),R11/D11,0)</f>
        <v/>
      </c>
      <c r="Q11" s="33">
        <f>IF(AND(B11="SELL",D11&gt;0,E11&gt;0),(D11/E11)+G11,0)</f>
        <v/>
      </c>
      <c r="R11" s="34">
        <f>IF(B11="SELL",Q11*F11,0)</f>
        <v/>
      </c>
      <c r="S11" s="35">
        <f>S10+R11</f>
        <v/>
      </c>
    </row>
    <row r="12" ht="15.75" customHeight="1" s="94">
      <c r="A12" s="36" t="n">
        <v>11</v>
      </c>
      <c r="B12" s="37" t="inlineStr">
        <is>
          <t>SELL</t>
        </is>
      </c>
      <c r="C12" s="38" t="n">
        <v>45902</v>
      </c>
      <c r="D12" s="39" t="n">
        <v>175707</v>
      </c>
      <c r="E12" s="40" t="n">
        <v>979.3</v>
      </c>
      <c r="F12" s="40" t="n">
        <v>979.3</v>
      </c>
      <c r="G12" s="41" t="n">
        <v>-171.2</v>
      </c>
      <c r="H12" s="41" t="n"/>
      <c r="I12" s="19" t="n">
        <v>371.986585700254</v>
      </c>
      <c r="J12" s="41" t="n">
        <v>212.61</v>
      </c>
      <c r="K12" s="42">
        <f>IF(AND(B12="SELL",E12&gt;0,J12&lt;&gt;""),J12/E12,0)</f>
        <v/>
      </c>
      <c r="L12" s="42" t="n">
        <v>0.205</v>
      </c>
      <c r="M12" s="40">
        <f>IF(AND(B12="SELL",L12&gt;0),D12*L12,0)</f>
        <v/>
      </c>
      <c r="N12" s="36" t="inlineStr">
        <is>
          <t>cambio zule y mi mama</t>
        </is>
      </c>
      <c r="O12" s="43">
        <f>IF(AND(B12="SELL",G12&lt;&gt;0),Q12/ABS(G12),0)</f>
        <v/>
      </c>
      <c r="P12" s="43">
        <f>IF(AND(B12="SELL",D12&gt;0),R12/D12,0)</f>
        <v/>
      </c>
      <c r="Q12" s="44">
        <f>IF(AND(B12="SELL",D12&gt;0,E12&gt;0),(D12/E12)+G12,0)</f>
        <v/>
      </c>
      <c r="R12" s="45">
        <f>IF(B12="SELL",Q12*F12,0)</f>
        <v/>
      </c>
      <c r="S12" s="24">
        <f>S11+R12</f>
        <v/>
      </c>
    </row>
    <row r="13" ht="15.75" customHeight="1" s="94">
      <c r="A13" s="46" t="n">
        <v>12</v>
      </c>
      <c r="B13" s="47" t="inlineStr">
        <is>
          <t>SELL</t>
        </is>
      </c>
      <c r="C13" s="48" t="n">
        <v>45903</v>
      </c>
      <c r="D13" s="49" t="n">
        <v>29140</v>
      </c>
      <c r="E13" s="50" t="n">
        <v>979.3</v>
      </c>
      <c r="F13" s="50" t="n">
        <v>979.3</v>
      </c>
      <c r="G13" s="51" t="n">
        <v>-28.72</v>
      </c>
      <c r="H13" s="51" t="n"/>
      <c r="I13" s="30" t="n">
        <v>343.266585700254</v>
      </c>
      <c r="J13" s="51" t="n">
        <v>210</v>
      </c>
      <c r="K13" s="52">
        <f>IF(AND(B13="SELL",E13&gt;0,J13&lt;&gt;""),J13/E13,0)</f>
        <v/>
      </c>
      <c r="L13" s="52" t="n">
        <v>0.206</v>
      </c>
      <c r="M13" s="50">
        <f>IF(AND(B13="SELL",L13&gt;0),D13*L13,0)</f>
        <v/>
      </c>
      <c r="N13" s="46" t="inlineStr">
        <is>
          <t>cambio zule</t>
        </is>
      </c>
      <c r="O13" s="53">
        <f>IF(AND(B13="SELL",G13&lt;&gt;0),Q13/ABS(G13),0)</f>
        <v/>
      </c>
      <c r="P13" s="53">
        <f>IF(AND(B13="SELL",D13&gt;0),R13/D13,0)</f>
        <v/>
      </c>
      <c r="Q13" s="54">
        <f>IF(AND(B13="SELL",D13&gt;0,E13&gt;0),(D13/E13)+G13,0)</f>
        <v/>
      </c>
      <c r="R13" s="55">
        <f>IF(B13="SELL",Q13*F13,0)</f>
        <v/>
      </c>
      <c r="S13" s="35">
        <f>S12+R13</f>
        <v/>
      </c>
    </row>
    <row r="14" ht="15.75" customHeight="1" s="94">
      <c r="A14" s="36" t="n">
        <v>13</v>
      </c>
      <c r="B14" s="37" t="inlineStr">
        <is>
          <t>SELL</t>
        </is>
      </c>
      <c r="C14" s="38" t="n">
        <v>45903</v>
      </c>
      <c r="D14" s="39" t="n">
        <v>20000</v>
      </c>
      <c r="E14" s="40" t="n">
        <v>979.3</v>
      </c>
      <c r="F14" s="40" t="n">
        <v>979.3</v>
      </c>
      <c r="G14" s="41" t="n">
        <v>-19.61</v>
      </c>
      <c r="H14" s="41" t="n"/>
      <c r="I14" s="19" t="n">
        <v>323.656585700254</v>
      </c>
      <c r="J14" s="41" t="n">
        <v>210</v>
      </c>
      <c r="K14" s="42">
        <f>IF(AND(B14="SELL",E14&gt;0,J14&lt;&gt;""),J14/E14,0)</f>
        <v/>
      </c>
      <c r="L14" s="42" t="n">
        <v>0.206</v>
      </c>
      <c r="M14" s="40">
        <f>IF(AND(B14="SELL",L14&gt;0),D14*L14,0)</f>
        <v/>
      </c>
      <c r="N14" s="36" t="n"/>
      <c r="O14" s="43">
        <f>IF(AND(B14="SELL",G14&lt;&gt;0),Q14/ABS(G14),0)</f>
        <v/>
      </c>
      <c r="P14" s="43">
        <f>IF(AND(B14="SELL",D14&gt;0),R14/D14,0)</f>
        <v/>
      </c>
      <c r="Q14" s="44">
        <f>IF(AND(B14="SELL",D14&gt;0,E14&gt;0),(D14/E14)+G14,0)</f>
        <v/>
      </c>
      <c r="R14" s="45">
        <f>IF(B14="SELL",Q14*F14,0)</f>
        <v/>
      </c>
      <c r="S14" s="24">
        <f>S13+R14</f>
        <v/>
      </c>
    </row>
    <row r="15" ht="15.75" customHeight="1" s="94">
      <c r="A15" s="46" t="n">
        <v>14</v>
      </c>
      <c r="B15" s="47" t="inlineStr">
        <is>
          <t>SELL</t>
        </is>
      </c>
      <c r="C15" s="48" t="n">
        <v>45903</v>
      </c>
      <c r="D15" s="49" t="n">
        <v>40000</v>
      </c>
      <c r="E15" s="50" t="n">
        <v>979.3</v>
      </c>
      <c r="F15" s="50" t="n">
        <v>979.3</v>
      </c>
      <c r="G15" s="51" t="n">
        <v>-38.46</v>
      </c>
      <c r="H15" s="51" t="n"/>
      <c r="I15" s="30" t="n">
        <v>285.196585700254</v>
      </c>
      <c r="J15" s="51" t="n">
        <v>214.22</v>
      </c>
      <c r="K15" s="52">
        <f>IF(AND(B15="SELL",E15&gt;0,J15&lt;&gt;""),J15/E15,0)</f>
        <v/>
      </c>
      <c r="L15" s="52" t="n">
        <v>0.206</v>
      </c>
      <c r="M15" s="50">
        <f>IF(AND(B15="SELL",L15&gt;0),D15*L15,0)</f>
        <v/>
      </c>
      <c r="N15" s="46" t="n"/>
      <c r="O15" s="53">
        <f>IF(AND(B15="SELL",G15&lt;&gt;0),Q15/ABS(G15),0)</f>
        <v/>
      </c>
      <c r="P15" s="53">
        <f>IF(AND(B15="SELL",D15&gt;0),R15/D15,0)</f>
        <v/>
      </c>
      <c r="Q15" s="54">
        <f>IF(AND(B15="SELL",D15&gt;0,E15&gt;0),(D15/E15)+G15,0)</f>
        <v/>
      </c>
      <c r="R15" s="55">
        <f>IF(B15="SELL",Q15*F15,0)</f>
        <v/>
      </c>
      <c r="S15" s="35">
        <f>S14+R15</f>
        <v/>
      </c>
    </row>
    <row r="16" ht="15.75" customHeight="1" s="94">
      <c r="A16" s="36" t="n">
        <v>15</v>
      </c>
      <c r="B16" s="37" t="inlineStr">
        <is>
          <t>SELL</t>
        </is>
      </c>
      <c r="C16" s="38" t="n">
        <v>45903</v>
      </c>
      <c r="D16" s="39" t="n">
        <v>17504</v>
      </c>
      <c r="E16" s="40" t="n">
        <v>979.3</v>
      </c>
      <c r="F16" s="40" t="n">
        <v>979.3</v>
      </c>
      <c r="G16" s="41" t="n">
        <v>-17.07</v>
      </c>
      <c r="H16" s="41" t="n"/>
      <c r="I16" s="19" t="n">
        <v>268.126585700254</v>
      </c>
      <c r="J16" s="41" t="n">
        <v>211.15</v>
      </c>
      <c r="K16" s="42">
        <f>IF(AND(B16="SELL",E16&gt;0,J16&lt;&gt;""),J16/E16,0)</f>
        <v/>
      </c>
      <c r="L16" s="42" t="n">
        <v>0.206</v>
      </c>
      <c r="M16" s="40">
        <f>IF(AND(B16="SELL",L16&gt;0),D16*L16,0)</f>
        <v/>
      </c>
      <c r="N16" s="36" t="n"/>
      <c r="O16" s="43">
        <f>IF(AND(B16="SELL",G16&lt;&gt;0),Q16/ABS(G16),0)</f>
        <v/>
      </c>
      <c r="P16" s="43">
        <f>IF(AND(B16="SELL",D16&gt;0),R16/D16,0)</f>
        <v/>
      </c>
      <c r="Q16" s="44">
        <f>IF(AND(B16="SELL",D16&gt;0,E16&gt;0),(D16/E16)+G16,0)</f>
        <v/>
      </c>
      <c r="R16" s="45">
        <f>IF(B16="SELL",Q16*F16,0)</f>
        <v/>
      </c>
      <c r="S16" s="24">
        <f>S15+R16</f>
        <v/>
      </c>
    </row>
    <row r="17" ht="15.75" customHeight="1" s="94">
      <c r="A17" s="46" t="n">
        <v>16</v>
      </c>
      <c r="B17" s="47" t="inlineStr">
        <is>
          <t>SELL</t>
        </is>
      </c>
      <c r="C17" s="48" t="n">
        <v>45903</v>
      </c>
      <c r="D17" s="49" t="n">
        <v>20000</v>
      </c>
      <c r="E17" s="50" t="n">
        <v>979.3</v>
      </c>
      <c r="F17" s="50" t="n">
        <v>979.3</v>
      </c>
      <c r="G17" s="51" t="n">
        <v>-19.13</v>
      </c>
      <c r="H17" s="51" t="n"/>
      <c r="I17" s="30" t="n">
        <v>248.996585700254</v>
      </c>
      <c r="J17" s="51" t="n">
        <v>215.34</v>
      </c>
      <c r="K17" s="52">
        <f>IF(AND(B17="SELL",E17&gt;0,J17&lt;&gt;""),J17/E17,0)</f>
        <v/>
      </c>
      <c r="L17" s="52" t="n">
        <v>0.206</v>
      </c>
      <c r="M17" s="50">
        <f>IF(AND(B17="SELL",L17&gt;0),D17*L17,0)</f>
        <v/>
      </c>
      <c r="N17" s="46" t="n"/>
      <c r="O17" s="53">
        <f>IF(AND(B17="SELL",G17&lt;&gt;0),Q17/ABS(G17),0)</f>
        <v/>
      </c>
      <c r="P17" s="53">
        <f>IF(AND(B17="SELL",D17&gt;0),R17/D17,0)</f>
        <v/>
      </c>
      <c r="Q17" s="54">
        <f>IF(AND(B17="SELL",D17&gt;0,E17&gt;0),(D17/E17)+G17,0)</f>
        <v/>
      </c>
      <c r="R17" s="55">
        <f>IF(B17="SELL",Q17*F17,0)</f>
        <v/>
      </c>
      <c r="S17" s="35">
        <f>S16+R17</f>
        <v/>
      </c>
    </row>
    <row r="18" ht="15.75" customHeight="1" s="94">
      <c r="A18" s="36" t="n">
        <v>17</v>
      </c>
      <c r="B18" s="37" t="inlineStr">
        <is>
          <t>SELL</t>
        </is>
      </c>
      <c r="C18" s="38" t="n">
        <v>45904</v>
      </c>
      <c r="D18" s="39" t="n">
        <v>15000</v>
      </c>
      <c r="E18" s="40" t="n">
        <v>979.3</v>
      </c>
      <c r="F18" s="40" t="n">
        <v>979.3</v>
      </c>
      <c r="G18" s="41" t="n">
        <v>-14.64</v>
      </c>
      <c r="H18" s="41" t="n"/>
      <c r="I18" s="19" t="n">
        <v>234.356585700254</v>
      </c>
      <c r="J18" s="41" t="n">
        <v>215.05</v>
      </c>
      <c r="K18" s="42">
        <f>IF(AND(B18="SELL",E18&gt;0,J18&lt;&gt;""),J18/E18,0)</f>
        <v/>
      </c>
      <c r="L18" s="42" t="n">
        <v>0.207</v>
      </c>
      <c r="M18" s="40">
        <f>IF(AND(B18="SELL",L18&gt;0),D18*L18,0)</f>
        <v/>
      </c>
      <c r="N18" s="36" t="inlineStr">
        <is>
          <t>cambio paula sra</t>
        </is>
      </c>
      <c r="O18" s="43">
        <f>IF(AND(B18="SELL",G18&lt;&gt;0),Q18/ABS(G18),0)</f>
        <v/>
      </c>
      <c r="P18" s="43">
        <f>IF(AND(B18="SELL",D18&gt;0),R18/D18,0)</f>
        <v/>
      </c>
      <c r="Q18" s="44">
        <f>IF(AND(B18="SELL",D18&gt;0,E18&gt;0),(D18/E18)+G18,0)</f>
        <v/>
      </c>
      <c r="R18" s="45">
        <f>IF(B18="SELL",Q18*F18,0)</f>
        <v/>
      </c>
      <c r="S18" s="24">
        <f>S17+R18</f>
        <v/>
      </c>
    </row>
    <row r="19" ht="15.75" customHeight="1" s="94">
      <c r="A19" s="46" t="n">
        <v>18</v>
      </c>
      <c r="B19" s="47" t="inlineStr">
        <is>
          <t>SELL</t>
        </is>
      </c>
      <c r="C19" s="48" t="n">
        <v>45904</v>
      </c>
      <c r="D19" s="49" t="n">
        <v>30000</v>
      </c>
      <c r="E19" s="50" t="n">
        <v>979.3</v>
      </c>
      <c r="F19" s="50" t="n">
        <v>979.3</v>
      </c>
      <c r="G19" s="51" t="n">
        <v>-29.13</v>
      </c>
      <c r="H19" s="51" t="n"/>
      <c r="I19" s="30" t="n">
        <v>205.226585700254</v>
      </c>
      <c r="J19" s="51" t="n">
        <v>3912.17</v>
      </c>
      <c r="K19" s="52">
        <f>IF(AND(B19="SELL",E19&gt;0,J19&lt;&gt;""),J19/E19,0)</f>
        <v/>
      </c>
      <c r="L19" s="52" t="n">
        <v>3.8</v>
      </c>
      <c r="M19" s="50">
        <f>IF(AND(B19="SELL",L19&gt;0),D19*L19,0)</f>
        <v/>
      </c>
      <c r="N19" s="46" t="inlineStr">
        <is>
          <t>cambio turale</t>
        </is>
      </c>
      <c r="O19" s="53">
        <f>IF(AND(B19="SELL",G19&lt;&gt;0),Q19/ABS(G19),0)</f>
        <v/>
      </c>
      <c r="P19" s="53">
        <f>IF(AND(B19="SELL",D19&gt;0),R19/D19,0)</f>
        <v/>
      </c>
      <c r="Q19" s="54">
        <f>IF(AND(B19="SELL",D19&gt;0,E19&gt;0),(D19/E19)+G19,0)</f>
        <v/>
      </c>
      <c r="R19" s="55">
        <f>IF(B19="SELL",Q19*F19,0)</f>
        <v/>
      </c>
      <c r="S19" s="35">
        <f>S18+R19</f>
        <v/>
      </c>
    </row>
    <row r="20" ht="15.75" customHeight="1" s="94">
      <c r="A20" s="36" t="n">
        <v>19</v>
      </c>
      <c r="B20" s="37" t="inlineStr">
        <is>
          <t>SELL</t>
        </is>
      </c>
      <c r="C20" s="38" t="n">
        <v>45905</v>
      </c>
      <c r="D20" s="39" t="n">
        <v>22000</v>
      </c>
      <c r="E20" s="40" t="n">
        <v>979.3</v>
      </c>
      <c r="F20" s="40" t="n">
        <v>979.3</v>
      </c>
      <c r="G20" s="41" t="n">
        <v>-21.42</v>
      </c>
      <c r="H20" s="41" t="n"/>
      <c r="I20" s="19" t="n">
        <v>183.806585700254</v>
      </c>
      <c r="J20" s="41" t="n">
        <v>214.701</v>
      </c>
      <c r="K20" s="42">
        <f>IF(AND(B20="SELL",E20&gt;0,J20&lt;&gt;""),J20/E20,0)</f>
        <v/>
      </c>
      <c r="L20" s="42" t="n">
        <v>0.209</v>
      </c>
      <c r="M20" s="40">
        <f>IF(AND(B20="SELL",L20&gt;0),D20*L20,0)</f>
        <v/>
      </c>
      <c r="N20" s="36" t="n"/>
      <c r="O20" s="43">
        <f>IF(AND(B20="SELL",G20&lt;&gt;0),Q20/ABS(G20),0)</f>
        <v/>
      </c>
      <c r="P20" s="43">
        <f>IF(AND(B20="SELL",D20&gt;0),R20/D20,0)</f>
        <v/>
      </c>
      <c r="Q20" s="44">
        <f>IF(AND(B20="SELL",D20&gt;0,E20&gt;0),(D20/E20)+G20,0)</f>
        <v/>
      </c>
      <c r="R20" s="45">
        <f>IF(B20="SELL",Q20*F20,0)</f>
        <v/>
      </c>
      <c r="S20" s="24">
        <f>S19+R20</f>
        <v/>
      </c>
    </row>
    <row r="21" ht="15.75" customHeight="1" s="94">
      <c r="A21" s="46" t="n">
        <v>20</v>
      </c>
      <c r="B21" s="47" t="inlineStr">
        <is>
          <t>SELL</t>
        </is>
      </c>
      <c r="C21" s="48" t="n">
        <v>45905</v>
      </c>
      <c r="D21" s="49" t="n">
        <v>10000</v>
      </c>
      <c r="E21" s="50" t="n">
        <v>979.3</v>
      </c>
      <c r="F21" s="50" t="n">
        <v>979.3</v>
      </c>
      <c r="G21" s="51" t="n">
        <v>-9.859999999999999</v>
      </c>
      <c r="H21" s="51" t="n"/>
      <c r="I21" s="30" t="n">
        <v>173.946585700254</v>
      </c>
      <c r="J21" s="51" t="n">
        <v>3853.5</v>
      </c>
      <c r="K21" s="52">
        <f>IF(AND(B21="SELL",E21&gt;0,J21&lt;&gt;""),J21/E21,0)</f>
        <v/>
      </c>
      <c r="L21" s="52" t="n">
        <v>3.8</v>
      </c>
      <c r="M21" s="50">
        <f>IF(AND(B21="SELL",L21&gt;0),D21*L21,0)</f>
        <v/>
      </c>
      <c r="N21" s="46" t="inlineStr">
        <is>
          <t>cambio turale</t>
        </is>
      </c>
      <c r="O21" s="53">
        <f>IF(AND(B21="SELL",G21&lt;&gt;0),Q21/ABS(G21),0)</f>
        <v/>
      </c>
      <c r="P21" s="53">
        <f>IF(AND(B21="SELL",D21&gt;0),R21/D21,0)</f>
        <v/>
      </c>
      <c r="Q21" s="54">
        <f>IF(AND(B21="SELL",D21&gt;0,E21&gt;0),(D21/E21)+G21,0)</f>
        <v/>
      </c>
      <c r="R21" s="55">
        <f>IF(B21="SELL",Q21*F21,0)</f>
        <v/>
      </c>
      <c r="S21" s="35">
        <f>S20+R21</f>
        <v/>
      </c>
    </row>
    <row r="22" ht="15.75" customHeight="1" s="94">
      <c r="A22" s="36" t="n">
        <v>21</v>
      </c>
      <c r="B22" s="37" t="inlineStr">
        <is>
          <t>SELL</t>
        </is>
      </c>
      <c r="C22" s="38" t="n">
        <v>45906</v>
      </c>
      <c r="D22" s="39" t="n">
        <v>7000</v>
      </c>
      <c r="E22" s="40" t="n">
        <v>979.3</v>
      </c>
      <c r="F22" s="40" t="n">
        <v>979.3</v>
      </c>
      <c r="G22" s="41" t="n">
        <v>-6.96</v>
      </c>
      <c r="H22" s="41" t="n"/>
      <c r="I22" s="19" t="n">
        <v>166.986585700254</v>
      </c>
      <c r="J22" s="41" t="n">
        <v>210.057</v>
      </c>
      <c r="K22" s="42">
        <f>IF(AND(B22="SELL",E22&gt;0,J22&lt;&gt;""),J22/E22,0)</f>
        <v/>
      </c>
      <c r="L22" s="42" t="n">
        <v>0.209</v>
      </c>
      <c r="M22" s="40">
        <f>IF(AND(B22="SELL",L22&gt;0),D22*L22,0)</f>
        <v/>
      </c>
      <c r="N22" s="36" t="inlineStr">
        <is>
          <t>cambio wale</t>
        </is>
      </c>
      <c r="O22" s="43">
        <f>IF(AND(B22="SELL",G22&lt;&gt;0),Q22/ABS(G22),0)</f>
        <v/>
      </c>
      <c r="P22" s="43">
        <f>IF(AND(B22="SELL",D22&gt;0),R22/D22,0)</f>
        <v/>
      </c>
      <c r="Q22" s="44">
        <f>IF(AND(B22="SELL",D22&gt;0,E22&gt;0),(D22/E22)+G22,0)</f>
        <v/>
      </c>
      <c r="R22" s="45">
        <f>IF(B22="SELL",Q22*F22,0)</f>
        <v/>
      </c>
      <c r="S22" s="24">
        <f>S21+R22</f>
        <v/>
      </c>
    </row>
    <row r="23" ht="15.75" customHeight="1" s="94">
      <c r="A23" s="46" t="n">
        <v>22</v>
      </c>
      <c r="B23" s="47" t="inlineStr">
        <is>
          <t>SELL</t>
        </is>
      </c>
      <c r="C23" s="48" t="n">
        <v>45906</v>
      </c>
      <c r="D23" s="49" t="n">
        <v>25667</v>
      </c>
      <c r="E23" s="50" t="n">
        <v>979.3</v>
      </c>
      <c r="F23" s="50" t="n">
        <v>979.3</v>
      </c>
      <c r="G23" s="51" t="n">
        <v>-24.82</v>
      </c>
      <c r="H23" s="51" t="n"/>
      <c r="I23" s="30" t="n">
        <v>142.166585700254</v>
      </c>
      <c r="J23" s="51" t="n">
        <v>217.105</v>
      </c>
      <c r="K23" s="52">
        <f>IF(AND(B23="SELL",E23&gt;0,J23&lt;&gt;""),J23/E23,0)</f>
        <v/>
      </c>
      <c r="L23" s="52" t="n">
        <v>0.2105</v>
      </c>
      <c r="M23" s="50">
        <f>IF(AND(B23="SELL",L23&gt;0),D23*L23,0)</f>
        <v/>
      </c>
      <c r="N23" s="46" t="inlineStr">
        <is>
          <t>pago de internet jesus</t>
        </is>
      </c>
      <c r="O23" s="53">
        <f>IF(AND(B23="SELL",G23&lt;&gt;0),Q23/ABS(G23),0)</f>
        <v/>
      </c>
      <c r="P23" s="53">
        <f>IF(AND(B23="SELL",D23&gt;0),R23/D23,0)</f>
        <v/>
      </c>
      <c r="Q23" s="54">
        <f>IF(AND(B23="SELL",D23&gt;0,E23&gt;0),(D23/E23)+G23,0)</f>
        <v/>
      </c>
      <c r="R23" s="55">
        <f>IF(B23="SELL",Q23*F23,0)</f>
        <v/>
      </c>
      <c r="S23" s="35">
        <f>S22+R23</f>
        <v/>
      </c>
    </row>
    <row r="24" ht="15.75" customHeight="1" s="94">
      <c r="A24" s="36" t="n">
        <v>23</v>
      </c>
      <c r="B24" s="37" t="inlineStr">
        <is>
          <t>SELL</t>
        </is>
      </c>
      <c r="C24" s="38" t="n">
        <v>45906</v>
      </c>
      <c r="D24" s="39" t="n">
        <v>30000</v>
      </c>
      <c r="E24" s="40" t="n">
        <v>979.3</v>
      </c>
      <c r="F24" s="40" t="n">
        <v>979.3</v>
      </c>
      <c r="G24" s="41" t="n">
        <v>-29.23</v>
      </c>
      <c r="H24" s="41" t="n"/>
      <c r="I24" s="19" t="n">
        <v>112.936585700254</v>
      </c>
      <c r="J24" s="41" t="n">
        <v>216.019</v>
      </c>
      <c r="K24" s="42">
        <f>IF(AND(B24="SELL",E24&gt;0,J24&lt;&gt;""),J24/E24,0)</f>
        <v/>
      </c>
      <c r="L24" s="42" t="n">
        <v>0.2105</v>
      </c>
      <c r="M24" s="40">
        <f>IF(AND(B24="SELL",L24&gt;0),D24*L24,0)</f>
        <v/>
      </c>
      <c r="N24" s="36" t="inlineStr">
        <is>
          <t>cambio rosalys</t>
        </is>
      </c>
      <c r="O24" s="43">
        <f>IF(AND(B24="SELL",G24&lt;&gt;0),Q24/ABS(G24),0)</f>
        <v/>
      </c>
      <c r="P24" s="43">
        <f>IF(AND(B24="SELL",D24&gt;0),R24/D24,0)</f>
        <v/>
      </c>
      <c r="Q24" s="44">
        <f>IF(AND(B24="SELL",D24&gt;0,E24&gt;0),(D24/E24)+G24,0)</f>
        <v/>
      </c>
      <c r="R24" s="45">
        <f>IF(B24="SELL",Q24*F24,0)</f>
        <v/>
      </c>
      <c r="S24" s="24">
        <f>S23+R24</f>
        <v/>
      </c>
    </row>
    <row r="25" ht="15.75" customHeight="1" s="94">
      <c r="A25" s="46" t="n">
        <v>24</v>
      </c>
      <c r="B25" s="47" t="inlineStr">
        <is>
          <t>SELL</t>
        </is>
      </c>
      <c r="C25" s="48" t="n">
        <v>45906</v>
      </c>
      <c r="D25" s="49" t="n">
        <v>50000</v>
      </c>
      <c r="E25" s="50" t="n">
        <v>979.3</v>
      </c>
      <c r="F25" s="50" t="n">
        <v>979.3</v>
      </c>
      <c r="G25" s="51" t="n">
        <v>-48.56</v>
      </c>
      <c r="H25" s="51" t="n"/>
      <c r="I25" s="30" t="n">
        <v>64.376585700254</v>
      </c>
      <c r="J25" s="51" t="n">
        <v>216.7</v>
      </c>
      <c r="K25" s="52">
        <f>IF(AND(B25="SELL",E25&gt;0,J25&lt;&gt;""),J25/E25,0)</f>
        <v/>
      </c>
      <c r="L25" s="52" t="n">
        <v>0.2105</v>
      </c>
      <c r="M25" s="50">
        <f>IF(AND(B25="SELL",L25&gt;0),D25*L25,0)</f>
        <v/>
      </c>
      <c r="N25" s="46" t="inlineStr">
        <is>
          <t>cambio pinky</t>
        </is>
      </c>
      <c r="O25" s="53">
        <f>IF(AND(B25="SELL",G25&lt;&gt;0),Q25/ABS(G25),0)</f>
        <v/>
      </c>
      <c r="P25" s="53">
        <f>IF(AND(B25="SELL",D25&gt;0),R25/D25,0)</f>
        <v/>
      </c>
      <c r="Q25" s="54">
        <f>IF(AND(B25="SELL",D25&gt;0,E25&gt;0),(D25/E25)+G25,0)</f>
        <v/>
      </c>
      <c r="R25" s="55">
        <f>IF(B25="SELL",Q25*F25,0)</f>
        <v/>
      </c>
      <c r="S25" s="35">
        <f>S24+R25</f>
        <v/>
      </c>
    </row>
    <row r="26" ht="15.75" customHeight="1" s="94">
      <c r="A26" s="36" t="n">
        <v>25</v>
      </c>
      <c r="B26" s="37" t="inlineStr">
        <is>
          <t>SELL</t>
        </is>
      </c>
      <c r="C26" s="38" t="n">
        <v>45906</v>
      </c>
      <c r="D26" s="39" t="n">
        <v>50000</v>
      </c>
      <c r="E26" s="40" t="n">
        <v>979.3</v>
      </c>
      <c r="F26" s="40" t="n">
        <v>979.3</v>
      </c>
      <c r="G26" s="41" t="n">
        <v>-48.54</v>
      </c>
      <c r="H26" s="41" t="n"/>
      <c r="I26" s="19" t="n">
        <v>15.836585700254</v>
      </c>
      <c r="J26" s="41" t="n">
        <v>216.8</v>
      </c>
      <c r="K26" s="42">
        <f>IF(AND(B26="SELL",E26&gt;0,J26&lt;&gt;""),J26/E26,0)</f>
        <v/>
      </c>
      <c r="L26" s="42" t="n">
        <v>0.2105</v>
      </c>
      <c r="M26" s="40">
        <f>IF(AND(B26="SELL",L26&gt;0),D26*L26,0)</f>
        <v/>
      </c>
      <c r="N26" s="36" t="inlineStr">
        <is>
          <t>cambio rosalys</t>
        </is>
      </c>
      <c r="O26" s="43">
        <f>IF(AND(B26="SELL",G26&lt;&gt;0),Q26/ABS(G26),0)</f>
        <v/>
      </c>
      <c r="P26" s="43">
        <f>IF(AND(B26="SELL",D26&gt;0),R26/D26,0)</f>
        <v/>
      </c>
      <c r="Q26" s="44">
        <f>IF(AND(B26="SELL",D26&gt;0,E26&gt;0),(D26/E26)+G26,0)</f>
        <v/>
      </c>
      <c r="R26" s="45">
        <f>IF(B26="SELL",Q26*F26,0)</f>
        <v/>
      </c>
      <c r="S26" s="24">
        <f>S25+R26</f>
        <v/>
      </c>
    </row>
    <row r="27" ht="15.75" customHeight="1" s="94">
      <c r="A27" s="25" t="n">
        <v>26</v>
      </c>
      <c r="B27" s="26" t="inlineStr">
        <is>
          <t>BUY</t>
        </is>
      </c>
      <c r="C27" s="27" t="n">
        <v>45906</v>
      </c>
      <c r="D27" s="28" t="n">
        <v>366000</v>
      </c>
      <c r="E27" s="29" t="n">
        <v>974.45</v>
      </c>
      <c r="F27" s="29" t="n">
        <v>974.45</v>
      </c>
      <c r="G27" s="30" t="n">
        <v>375.59</v>
      </c>
      <c r="H27" s="30" t="n"/>
      <c r="I27" s="30" t="n">
        <v>391.426585700254</v>
      </c>
      <c r="J27" s="30" t="n"/>
      <c r="K27" s="31">
        <f>IF(AND(B27="SELL",E27&gt;0,J27&lt;&gt;""),J27/E27,0)</f>
        <v/>
      </c>
      <c r="L27" s="31" t="n">
        <v>0.2105</v>
      </c>
      <c r="M27" s="29">
        <f>IF(AND(B27="SELL",L27&gt;0),D27*L27,0)</f>
        <v/>
      </c>
      <c r="N27" s="25" t="n"/>
      <c r="O27" s="32">
        <f>IF(AND(B27="SELL",G27&lt;&gt;0),Q27/ABS(G27),0)</f>
        <v/>
      </c>
      <c r="P27" s="32">
        <f>IF(AND(B27="SELL",D27&gt;0),R27/D27,0)</f>
        <v/>
      </c>
      <c r="Q27" s="33">
        <f>IF(AND(B27="SELL",D27&gt;0,E27&gt;0),(D27/E27)+G27,0)</f>
        <v/>
      </c>
      <c r="R27" s="34">
        <f>IF(B27="SELL",Q27*F27,0)</f>
        <v/>
      </c>
      <c r="S27" s="35">
        <f>S26+R27</f>
        <v/>
      </c>
    </row>
    <row r="28" ht="15.75" customHeight="1" s="94">
      <c r="A28" s="36" t="n">
        <v>27</v>
      </c>
      <c r="B28" s="37" t="inlineStr">
        <is>
          <t>SELL</t>
        </is>
      </c>
      <c r="C28" s="38" t="n">
        <v>45907</v>
      </c>
      <c r="D28" s="39" t="n">
        <v>50000</v>
      </c>
      <c r="E28" s="40" t="n">
        <v>979.3</v>
      </c>
      <c r="F28" s="40" t="n">
        <v>979.3</v>
      </c>
      <c r="G28" s="41" t="n">
        <v>-49.04</v>
      </c>
      <c r="H28" s="41" t="n"/>
      <c r="I28" s="19" t="n">
        <v>342.386585700254</v>
      </c>
      <c r="J28" s="41" t="n">
        <v>215.61</v>
      </c>
      <c r="K28" s="42">
        <f>IF(AND(B28="SELL",E28&gt;0,J28&lt;&gt;""),J28/E28,0)</f>
        <v/>
      </c>
      <c r="L28" s="42" t="n">
        <v>0.2115</v>
      </c>
      <c r="M28" s="40">
        <f>IF(AND(B28="SELL",L28&gt;0),D28*L28,0)</f>
        <v/>
      </c>
      <c r="N28" s="36" t="inlineStr">
        <is>
          <t>cambio mimi</t>
        </is>
      </c>
      <c r="O28" s="43">
        <f>IF(AND(B28="SELL",G28&lt;&gt;0),Q28/ABS(G28),0)</f>
        <v/>
      </c>
      <c r="P28" s="43">
        <f>IF(AND(B28="SELL",D28&gt;0),R28/D28,0)</f>
        <v/>
      </c>
      <c r="Q28" s="44">
        <f>IF(AND(B28="SELL",D28&gt;0,E28&gt;0),(D28/E28)+G28,0)</f>
        <v/>
      </c>
      <c r="R28" s="45">
        <f>IF(B28="SELL",Q28*F28,0)</f>
        <v/>
      </c>
      <c r="S28" s="24">
        <f>S27+R28</f>
        <v/>
      </c>
    </row>
    <row r="29" ht="15.75" customHeight="1" s="94">
      <c r="A29" s="46" t="n">
        <v>28</v>
      </c>
      <c r="B29" s="47" t="inlineStr">
        <is>
          <t>SELL</t>
        </is>
      </c>
      <c r="C29" s="48" t="n">
        <v>45907</v>
      </c>
      <c r="D29" s="49" t="n">
        <v>30950</v>
      </c>
      <c r="E29" s="50" t="n">
        <v>979.3</v>
      </c>
      <c r="F29" s="50" t="n">
        <v>979.3</v>
      </c>
      <c r="G29" s="51" t="n">
        <v>-30.6</v>
      </c>
      <c r="H29" s="51" t="n"/>
      <c r="I29" s="30" t="n">
        <v>311.786585700254</v>
      </c>
      <c r="J29" s="51" t="n">
        <v>213</v>
      </c>
      <c r="K29" s="52">
        <f>IF(AND(B29="SELL",E29&gt;0,J29&lt;&gt;""),J29/E29,0)</f>
        <v/>
      </c>
      <c r="L29" s="52" t="n">
        <v>3.8</v>
      </c>
      <c r="M29" s="50">
        <f>IF(AND(B29="SELL",L29&gt;0),D29*L29,0)</f>
        <v/>
      </c>
      <c r="N29" s="46" t="inlineStr">
        <is>
          <t>cambio yumery</t>
        </is>
      </c>
      <c r="O29" s="53">
        <f>IF(AND(B29="SELL",G29&lt;&gt;0),Q29/ABS(G29),0)</f>
        <v/>
      </c>
      <c r="P29" s="53">
        <f>IF(AND(B29="SELL",D29&gt;0),R29/D29,0)</f>
        <v/>
      </c>
      <c r="Q29" s="54">
        <f>IF(AND(B29="SELL",D29&gt;0,E29&gt;0),(D29/E29)+G29,0)</f>
        <v/>
      </c>
      <c r="R29" s="55">
        <f>IF(B29="SELL",Q29*F29,0)</f>
        <v/>
      </c>
      <c r="S29" s="35">
        <f>S28+R29</f>
        <v/>
      </c>
    </row>
    <row r="30" ht="15.75" customHeight="1" s="94">
      <c r="A30" s="36" t="n">
        <v>29</v>
      </c>
      <c r="B30" s="37" t="inlineStr">
        <is>
          <t>SELL</t>
        </is>
      </c>
      <c r="C30" s="38" t="n">
        <v>45908</v>
      </c>
      <c r="D30" s="39" t="n">
        <v>20000</v>
      </c>
      <c r="E30" s="40" t="n">
        <v>979.3</v>
      </c>
      <c r="F30" s="40" t="n">
        <v>979.3</v>
      </c>
      <c r="G30" s="41" t="n">
        <v>-19.71</v>
      </c>
      <c r="H30" s="41" t="n"/>
      <c r="I30" s="19" t="n">
        <v>292.076585700254</v>
      </c>
      <c r="J30" s="41" t="n">
        <v>213</v>
      </c>
      <c r="K30" s="42">
        <f>IF(AND(B30="SELL",E30&gt;0,J30&lt;&gt;""),J30/E30,0)</f>
        <v/>
      </c>
      <c r="L30" s="42" t="n">
        <v>0.2115</v>
      </c>
      <c r="M30" s="40">
        <f>IF(AND(B30="SELL",L30&gt;0),D30*L30,0)</f>
        <v/>
      </c>
      <c r="N30" s="36" t="inlineStr">
        <is>
          <t>cambio turale</t>
        </is>
      </c>
      <c r="O30" s="43">
        <f>IF(AND(B30="SELL",G30&lt;&gt;0),Q30/ABS(G30),0)</f>
        <v/>
      </c>
      <c r="P30" s="43">
        <f>IF(AND(B30="SELL",D30&gt;0),R30/D30,0)</f>
        <v/>
      </c>
      <c r="Q30" s="44">
        <f>IF(AND(B30="SELL",D30&gt;0,E30&gt;0),(D30/E30)+G30,0)</f>
        <v/>
      </c>
      <c r="R30" s="45">
        <f>IF(B30="SELL",Q30*F30,0)</f>
        <v/>
      </c>
      <c r="S30" s="24">
        <f>S29+R30</f>
        <v/>
      </c>
    </row>
    <row r="31" ht="15.75" customHeight="1" s="94">
      <c r="A31" s="46" t="n">
        <v>30</v>
      </c>
      <c r="B31" s="47" t="inlineStr">
        <is>
          <t>SELL</t>
        </is>
      </c>
      <c r="C31" s="48" t="n">
        <v>45908</v>
      </c>
      <c r="D31" s="49" t="n">
        <v>43810</v>
      </c>
      <c r="E31" s="50" t="n">
        <v>979.3</v>
      </c>
      <c r="F31" s="50" t="n">
        <v>979.3</v>
      </c>
      <c r="G31" s="51" t="n">
        <v>-41.75</v>
      </c>
      <c r="H31" s="51" t="n"/>
      <c r="I31" s="30" t="n">
        <v>250.326585700254</v>
      </c>
      <c r="J31" s="51" t="n">
        <v>220.32</v>
      </c>
      <c r="K31" s="52">
        <f>IF(AND(B31="SELL",E31&gt;0,J31&lt;&gt;""),J31/E31,0)</f>
        <v/>
      </c>
      <c r="L31" s="52" t="n">
        <v>0.21</v>
      </c>
      <c r="M31" s="50">
        <f>IF(AND(B31="SELL",L31&gt;0),D31*L31,0)</f>
        <v/>
      </c>
      <c r="N31" s="46" t="inlineStr">
        <is>
          <t>cmabio paula</t>
        </is>
      </c>
      <c r="O31" s="53">
        <f>IF(AND(B31="SELL",G31&lt;&gt;0),Q31/ABS(G31),0)</f>
        <v/>
      </c>
      <c r="P31" s="53">
        <f>IF(AND(B31="SELL",D31&gt;0),R31/D31,0)</f>
        <v/>
      </c>
      <c r="Q31" s="54">
        <f>IF(AND(B31="SELL",D31&gt;0,E31&gt;0),(D31/E31)+G31,0)</f>
        <v/>
      </c>
      <c r="R31" s="55">
        <f>IF(B31="SELL",Q31*F31,0)</f>
        <v/>
      </c>
      <c r="S31" s="35">
        <f>S30+R31</f>
        <v/>
      </c>
    </row>
    <row r="32" ht="15.75" customHeight="1" s="94">
      <c r="A32" s="36" t="n">
        <v>31</v>
      </c>
      <c r="B32" s="37" t="inlineStr">
        <is>
          <t>SELL</t>
        </is>
      </c>
      <c r="C32" s="38" t="n">
        <v>45908</v>
      </c>
      <c r="D32" s="39" t="n">
        <v>50000</v>
      </c>
      <c r="E32" s="40" t="n">
        <v>979.3</v>
      </c>
      <c r="F32" s="40" t="n">
        <v>979.3</v>
      </c>
      <c r="G32" s="41" t="n">
        <v>-49.13</v>
      </c>
      <c r="H32" s="41" t="n"/>
      <c r="I32" s="19" t="n">
        <v>201.196585700254</v>
      </c>
      <c r="J32" s="41" t="n">
        <v>3867</v>
      </c>
      <c r="K32" s="42">
        <f>IF(AND(B32="SELL",E32&gt;0,J32&lt;&gt;""),J32/E32,0)</f>
        <v/>
      </c>
      <c r="L32" s="42" t="n">
        <v>3.8</v>
      </c>
      <c r="M32" s="40">
        <f>IF(AND(B32="SELL",L32&gt;0),D32*L32,0)</f>
        <v/>
      </c>
      <c r="N32" s="36" t="inlineStr">
        <is>
          <t>cambio ramses</t>
        </is>
      </c>
      <c r="O32" s="43">
        <f>IF(AND(B32="SELL",G32&lt;&gt;0),Q32/ABS(G32),0)</f>
        <v/>
      </c>
      <c r="P32" s="43">
        <f>IF(AND(B32="SELL",D32&gt;0),R32/D32,0)</f>
        <v/>
      </c>
      <c r="Q32" s="44">
        <f>IF(AND(B32="SELL",D32&gt;0,E32&gt;0),(D32/E32)+G32,0)</f>
        <v/>
      </c>
      <c r="R32" s="45">
        <f>IF(B32="SELL",Q32*F32,0)</f>
        <v/>
      </c>
      <c r="S32" s="24">
        <f>S31+R32</f>
        <v/>
      </c>
    </row>
    <row r="33" ht="15.75" customHeight="1" s="94">
      <c r="A33" s="46" t="n">
        <v>32</v>
      </c>
      <c r="B33" s="47" t="inlineStr">
        <is>
          <t>SELL</t>
        </is>
      </c>
      <c r="C33" s="48" t="n">
        <v>45908</v>
      </c>
      <c r="D33" s="49" t="n">
        <v>30000</v>
      </c>
      <c r="E33" s="50" t="n">
        <v>979.3</v>
      </c>
      <c r="F33" s="50" t="n">
        <v>979.3</v>
      </c>
      <c r="G33" s="51" t="n">
        <v>-28.59</v>
      </c>
      <c r="H33" s="51" t="n"/>
      <c r="I33" s="30" t="n">
        <v>172.606585700254</v>
      </c>
      <c r="J33" s="51" t="n">
        <v>220.3</v>
      </c>
      <c r="K33" s="52">
        <f>IF(AND(B33="SELL",E33&gt;0,J33&lt;&gt;""),J33/E33,0)</f>
        <v/>
      </c>
      <c r="L33" s="52" t="n">
        <v>0.21</v>
      </c>
      <c r="M33" s="50">
        <f>IF(AND(B33="SELL",L33&gt;0),D33*L33,0)</f>
        <v/>
      </c>
      <c r="N33" s="46" t="inlineStr">
        <is>
          <t>cambio rosalys</t>
        </is>
      </c>
      <c r="O33" s="53">
        <f>IF(AND(B33="SELL",G33&lt;&gt;0),Q33/ABS(G33),0)</f>
        <v/>
      </c>
      <c r="P33" s="53">
        <f>IF(AND(B33="SELL",D33&gt;0),R33/D33,0)</f>
        <v/>
      </c>
      <c r="Q33" s="54">
        <f>IF(AND(B33="SELL",D33&gt;0,E33&gt;0),(D33/E33)+G33,0)</f>
        <v/>
      </c>
      <c r="R33" s="55">
        <f>IF(B33="SELL",Q33*F33,0)</f>
        <v/>
      </c>
      <c r="S33" s="35">
        <f>S32+R33</f>
        <v/>
      </c>
    </row>
    <row r="34" ht="15.75" customHeight="1" s="94">
      <c r="A34" s="36" t="n">
        <v>33</v>
      </c>
      <c r="B34" s="37" t="inlineStr">
        <is>
          <t>SELL</t>
        </is>
      </c>
      <c r="C34" s="38" t="n">
        <v>45909</v>
      </c>
      <c r="D34" s="39" t="n">
        <v>40000</v>
      </c>
      <c r="E34" s="40" t="n">
        <v>979.3</v>
      </c>
      <c r="F34" s="40" t="n">
        <v>979.3</v>
      </c>
      <c r="G34" s="41" t="n">
        <v>-37.66</v>
      </c>
      <c r="H34" s="41" t="n"/>
      <c r="I34" s="19" t="n">
        <v>177.946585700254</v>
      </c>
      <c r="J34" s="41" t="n">
        <v>232.6</v>
      </c>
      <c r="K34" s="42">
        <f>IF(AND(B34="SELL",E34&gt;0,J34&lt;&gt;""),J34/E34,0)</f>
        <v/>
      </c>
      <c r="L34" s="42" t="n">
        <v>0.219</v>
      </c>
      <c r="M34" s="40">
        <f>IF(AND(B34="SELL",L34&gt;0),D34*L34,0)</f>
        <v/>
      </c>
      <c r="N34" s="36" t="inlineStr">
        <is>
          <t>cambio</t>
        </is>
      </c>
      <c r="O34" s="43">
        <f>IF(AND(B34="SELL",G34&lt;&gt;0),Q34/ABS(G34),0)</f>
        <v/>
      </c>
      <c r="P34" s="43">
        <f>IF(AND(B34="SELL",D34&gt;0),R34/D34,0)</f>
        <v/>
      </c>
      <c r="Q34" s="44">
        <f>IF(AND(B34="SELL",D34&gt;0,E34&gt;0),(D34/E34)+G34,0)</f>
        <v/>
      </c>
      <c r="R34" s="45">
        <f>IF(B34="SELL",Q34*F34,0)</f>
        <v/>
      </c>
      <c r="S34" s="24">
        <f>S33+R34</f>
        <v/>
      </c>
    </row>
    <row r="35" ht="15.75" customHeight="1" s="94">
      <c r="A35" s="46" t="n">
        <v>34</v>
      </c>
      <c r="B35" s="47" t="inlineStr">
        <is>
          <t>SELL</t>
        </is>
      </c>
      <c r="C35" s="48" t="n">
        <v>45910</v>
      </c>
      <c r="D35" s="49" t="n">
        <v>150000</v>
      </c>
      <c r="E35" s="50" t="n">
        <v>979.3</v>
      </c>
      <c r="F35" s="50" t="n">
        <v>979.3</v>
      </c>
      <c r="G35" s="51" t="n">
        <v>-139.59</v>
      </c>
      <c r="H35" s="51" t="n"/>
      <c r="I35" s="30" t="n">
        <v>38.356585700254</v>
      </c>
      <c r="J35" s="51" t="n">
        <v>238.006</v>
      </c>
      <c r="K35" s="52">
        <f>IF(AND(B35="SELL",E35&gt;0,J35&lt;&gt;""),J35/E35,0)</f>
        <v/>
      </c>
      <c r="L35" s="52" t="n">
        <v>0.2245</v>
      </c>
      <c r="M35" s="50">
        <f>IF(AND(B35="SELL",L35&gt;0),D35*L35,0)</f>
        <v/>
      </c>
      <c r="N35" s="46" t="inlineStr">
        <is>
          <t>cambio paula y pinky</t>
        </is>
      </c>
      <c r="O35" s="53">
        <f>IF(AND(B35="SELL",G35&lt;&gt;0),Q35/ABS(G35),0)</f>
        <v/>
      </c>
      <c r="P35" s="53">
        <f>IF(AND(B35="SELL",D35&gt;0),R35/D35,0)</f>
        <v/>
      </c>
      <c r="Q35" s="54">
        <f>IF(AND(B35="SELL",D35&gt;0,E35&gt;0),(D35/E35)+G35,0)</f>
        <v/>
      </c>
      <c r="R35" s="55">
        <f>IF(B35="SELL",Q35*F35,0)</f>
        <v/>
      </c>
      <c r="S35" s="35">
        <f>S34+R35</f>
        <v/>
      </c>
    </row>
    <row r="36" ht="15.75" customHeight="1" s="94">
      <c r="A36" s="36" t="n">
        <v>35</v>
      </c>
      <c r="B36" s="37" t="inlineStr">
        <is>
          <t>SELL</t>
        </is>
      </c>
      <c r="C36" s="38" t="n">
        <v>45910</v>
      </c>
      <c r="D36" s="39" t="n">
        <v>5000</v>
      </c>
      <c r="E36" s="40" t="n">
        <v>979.3</v>
      </c>
      <c r="F36" s="40" t="n">
        <v>979.3</v>
      </c>
      <c r="G36" s="41" t="n">
        <v>-5.27</v>
      </c>
      <c r="H36" s="41" t="n"/>
      <c r="I36" s="19" t="n">
        <v>33.086585700254</v>
      </c>
      <c r="J36" s="41" t="n">
        <v>231.866</v>
      </c>
      <c r="K36" s="42">
        <f>IF(AND(B36="SELL",E36&gt;0,J36&lt;&gt;""),J36/E36,0)</f>
        <v/>
      </c>
      <c r="L36" s="42" t="n">
        <v>0.2245</v>
      </c>
      <c r="M36" s="40">
        <f>IF(AND(B36="SELL",L36&gt;0),D36*L36,0)</f>
        <v/>
      </c>
      <c r="N36" s="36" t="inlineStr">
        <is>
          <t>cambio pinky</t>
        </is>
      </c>
      <c r="O36" s="43">
        <f>IF(AND(B36="SELL",G36&lt;&gt;0),Q36/ABS(G36),0)</f>
        <v/>
      </c>
      <c r="P36" s="43">
        <f>IF(AND(B36="SELL",D36&gt;0),R36/D36,0)</f>
        <v/>
      </c>
      <c r="Q36" s="44">
        <f>IF(AND(B36="SELL",D36&gt;0,E36&gt;0),(D36/E36)+G36,0)</f>
        <v/>
      </c>
      <c r="R36" s="45">
        <f>IF(B36="SELL",Q36*F36,0)</f>
        <v/>
      </c>
      <c r="S36" s="24">
        <f>S35+R36</f>
        <v/>
      </c>
    </row>
    <row r="37" ht="15.75" customHeight="1" s="94">
      <c r="A37" s="25" t="n">
        <v>36</v>
      </c>
      <c r="B37" s="26" t="inlineStr">
        <is>
          <t>BUY</t>
        </is>
      </c>
      <c r="C37" s="27" t="n">
        <v>45911</v>
      </c>
      <c r="D37" s="28" t="n">
        <v>507887</v>
      </c>
      <c r="E37" s="29" t="n">
        <v>964.77</v>
      </c>
      <c r="F37" s="29" t="n">
        <v>964.77</v>
      </c>
      <c r="G37" s="30" t="n">
        <v>526.4299999999999</v>
      </c>
      <c r="H37" s="30" t="n"/>
      <c r="I37" s="30" t="n">
        <v>559.516585700254</v>
      </c>
      <c r="J37" s="30" t="n"/>
      <c r="K37" s="31">
        <f>IF(AND(B37="SELL",E37&gt;0,J37&lt;&gt;""),J37/E37,0)</f>
        <v/>
      </c>
      <c r="L37" s="31" t="n"/>
      <c r="M37" s="29">
        <f>IF(AND(B37="SELL",L37&gt;0),D37*L37,0)</f>
        <v/>
      </c>
      <c r="N37" s="25" t="n"/>
      <c r="O37" s="32">
        <f>IF(AND(B37="SELL",G37&lt;&gt;0),Q37/ABS(G37),0)</f>
        <v/>
      </c>
      <c r="P37" s="32">
        <f>IF(AND(B37="SELL",D37&gt;0),R37/D37,0)</f>
        <v/>
      </c>
      <c r="Q37" s="33">
        <f>IF(AND(B37="SELL",D37&gt;0,E37&gt;0),(D37/E37)+G37,0)</f>
        <v/>
      </c>
      <c r="R37" s="34">
        <f>IF(B37="SELL",Q37*F37,0)</f>
        <v/>
      </c>
      <c r="S37" s="35">
        <f>S36+R37</f>
        <v/>
      </c>
    </row>
    <row r="38" ht="15.75" customHeight="1" s="94">
      <c r="A38" s="36" t="n">
        <v>37</v>
      </c>
      <c r="B38" s="37" t="inlineStr">
        <is>
          <t>SELL</t>
        </is>
      </c>
      <c r="C38" s="38" t="n">
        <v>45911</v>
      </c>
      <c r="D38" s="39" t="n">
        <v>50000</v>
      </c>
      <c r="E38" s="40" t="n">
        <v>964.77</v>
      </c>
      <c r="F38" s="40" t="n">
        <v>964.77</v>
      </c>
      <c r="G38" s="41" t="n">
        <v>-49.91</v>
      </c>
      <c r="H38" s="41" t="n"/>
      <c r="I38" s="19" t="n">
        <v>509.606585700254</v>
      </c>
      <c r="J38" s="41" t="n">
        <v>238.4</v>
      </c>
      <c r="K38" s="42">
        <f>IF(AND(B38="SELL",E38&gt;0,J38&lt;&gt;""),J38/E38,0)</f>
        <v/>
      </c>
      <c r="L38" s="42" t="n">
        <v>0.238</v>
      </c>
      <c r="M38" s="40">
        <f>IF(AND(B38="SELL",L38&gt;0),D38*L38,0)</f>
        <v/>
      </c>
      <c r="N38" s="36" t="inlineStr">
        <is>
          <t>cambio paula</t>
        </is>
      </c>
      <c r="O38" s="43">
        <f>IF(AND(B38="SELL",G38&lt;&gt;0),Q38/ABS(G38),0)</f>
        <v/>
      </c>
      <c r="P38" s="43">
        <f>IF(AND(B38="SELL",D38&gt;0),R38/D38,0)</f>
        <v/>
      </c>
      <c r="Q38" s="44">
        <f>IF(AND(B38="SELL",D38&gt;0,E38&gt;0),(D38/E38)+G38,0)</f>
        <v/>
      </c>
      <c r="R38" s="45">
        <f>IF(B38="SELL",Q38*F38,0)</f>
        <v/>
      </c>
      <c r="S38" s="24">
        <f>S37+R38</f>
        <v/>
      </c>
    </row>
    <row r="39" ht="15.75" customHeight="1" s="94">
      <c r="A39" s="46" t="n">
        <v>38</v>
      </c>
      <c r="B39" s="47" t="inlineStr">
        <is>
          <t>SELL</t>
        </is>
      </c>
      <c r="C39" s="48" t="n">
        <v>45911</v>
      </c>
      <c r="D39" s="49" t="n">
        <v>50000</v>
      </c>
      <c r="E39" s="50" t="n">
        <v>964.77</v>
      </c>
      <c r="F39" s="50" t="n">
        <v>964.77</v>
      </c>
      <c r="G39" s="51" t="n">
        <v>-49.64</v>
      </c>
      <c r="H39" s="51" t="n"/>
      <c r="I39" s="30" t="n">
        <v>459.966585700254</v>
      </c>
      <c r="J39" s="51" t="n">
        <v>18.53</v>
      </c>
      <c r="K39" s="52">
        <f>IF(AND(B39="SELL",E39&gt;0,J39&lt;&gt;""),J39/E39,0)</f>
        <v/>
      </c>
      <c r="L39" s="52" t="n">
        <v>0.184</v>
      </c>
      <c r="M39" s="50">
        <f>IF(AND(B39="SELL",L39&gt;0),D39*L39,0)</f>
        <v/>
      </c>
      <c r="N39" s="46" t="inlineStr">
        <is>
          <t>cambio paula</t>
        </is>
      </c>
      <c r="O39" s="53">
        <f>IF(AND(B39="SELL",G39&lt;&gt;0),Q39/ABS(G39),0)</f>
        <v/>
      </c>
      <c r="P39" s="53">
        <f>IF(AND(B39="SELL",D39&gt;0),R39/D39,0)</f>
        <v/>
      </c>
      <c r="Q39" s="54">
        <f>IF(AND(B39="SELL",D39&gt;0,E39&gt;0),(D39/E39)+G39,0)</f>
        <v/>
      </c>
      <c r="R39" s="55">
        <f>IF(B39="SELL",Q39*F39,0)</f>
        <v/>
      </c>
      <c r="S39" s="35">
        <f>S38+R39</f>
        <v/>
      </c>
    </row>
    <row r="40" ht="15.75" customHeight="1" s="94">
      <c r="A40" s="36" t="n">
        <v>39</v>
      </c>
      <c r="B40" s="37" t="inlineStr">
        <is>
          <t>SELL</t>
        </is>
      </c>
      <c r="C40" s="38" t="n">
        <v>45911</v>
      </c>
      <c r="D40" s="39" t="n">
        <v>20000</v>
      </c>
      <c r="E40" s="40" t="n">
        <v>964.77</v>
      </c>
      <c r="F40" s="40" t="n">
        <v>964.77</v>
      </c>
      <c r="G40" s="41" t="n">
        <v>-20.2</v>
      </c>
      <c r="H40" s="41" t="n"/>
      <c r="I40" s="19" t="n">
        <v>439.766585700254</v>
      </c>
      <c r="J40" s="41" t="n">
        <v>235.601</v>
      </c>
      <c r="K40" s="42">
        <f>IF(AND(B40="SELL",E40&gt;0,J40&lt;&gt;""),J40/E40,0)</f>
        <v/>
      </c>
      <c r="L40" s="42" t="n">
        <v>0.238</v>
      </c>
      <c r="M40" s="40">
        <f>IF(AND(B40="SELL",L40&gt;0),D40*L40,0)</f>
        <v/>
      </c>
      <c r="N40" s="36" t="inlineStr">
        <is>
          <t>cambio wale</t>
        </is>
      </c>
      <c r="O40" s="43">
        <f>IF(AND(B40="SELL",G40&lt;&gt;0),Q40/ABS(G40),0)</f>
        <v/>
      </c>
      <c r="P40" s="43">
        <f>IF(AND(B40="SELL",D40&gt;0),R40/D40,0)</f>
        <v/>
      </c>
      <c r="Q40" s="44">
        <f>IF(AND(B40="SELL",D40&gt;0,E40&gt;0),(D40/E40)+G40,0)</f>
        <v/>
      </c>
      <c r="R40" s="45">
        <f>IF(B40="SELL",Q40*F40,0)</f>
        <v/>
      </c>
      <c r="S40" s="24">
        <f>S39+R40</f>
        <v/>
      </c>
    </row>
    <row r="41" ht="15.75" customHeight="1" s="94">
      <c r="A41" s="46" t="n">
        <v>40</v>
      </c>
      <c r="B41" s="47" t="inlineStr">
        <is>
          <t>SELL</t>
        </is>
      </c>
      <c r="C41" s="48" t="n">
        <v>45912</v>
      </c>
      <c r="D41" s="49" t="n">
        <v>40000</v>
      </c>
      <c r="E41" s="50" t="n">
        <v>964.77</v>
      </c>
      <c r="F41" s="50" t="n">
        <v>964.77</v>
      </c>
      <c r="G41" s="51" t="n">
        <v>-39.69</v>
      </c>
      <c r="H41" s="51" t="n"/>
      <c r="I41" s="30" t="n">
        <v>400.076585700254</v>
      </c>
      <c r="J41" s="51" t="n">
        <v>237.311</v>
      </c>
      <c r="K41" s="52">
        <f>IF(AND(B41="SELL",E41&gt;0,J41&lt;&gt;""),J41/E41,0)</f>
        <v/>
      </c>
      <c r="L41" s="52" t="n">
        <v>0.2355</v>
      </c>
      <c r="M41" s="50">
        <f>IF(AND(B41="SELL",L41&gt;0),D41*L41,0)</f>
        <v/>
      </c>
      <c r="N41" s="46" t="inlineStr">
        <is>
          <t>cmabio zule</t>
        </is>
      </c>
      <c r="O41" s="53">
        <f>IF(AND(B41="SELL",G41&lt;&gt;0),Q41/ABS(G41),0)</f>
        <v/>
      </c>
      <c r="P41" s="53">
        <f>IF(AND(B41="SELL",D41&gt;0),R41/D41,0)</f>
        <v/>
      </c>
      <c r="Q41" s="54">
        <f>IF(AND(B41="SELL",D41&gt;0,E41&gt;0),(D41/E41)+G41,0)</f>
        <v/>
      </c>
      <c r="R41" s="55">
        <f>IF(B41="SELL",Q41*F41,0)</f>
        <v/>
      </c>
      <c r="S41" s="35">
        <f>S40+R41</f>
        <v/>
      </c>
    </row>
    <row r="42" ht="15.75" customHeight="1" s="94">
      <c r="A42" s="36" t="n">
        <v>41</v>
      </c>
      <c r="B42" s="37" t="inlineStr">
        <is>
          <t>SELL</t>
        </is>
      </c>
      <c r="C42" s="38" t="n">
        <v>45912</v>
      </c>
      <c r="D42" s="39" t="n">
        <v>40000</v>
      </c>
      <c r="E42" s="40" t="n">
        <v>964.77</v>
      </c>
      <c r="F42" s="40" t="n">
        <v>964.77</v>
      </c>
      <c r="G42" s="41" t="n">
        <v>-39.69</v>
      </c>
      <c r="H42" s="41" t="n"/>
      <c r="I42" s="19" t="n">
        <v>360.386585700254</v>
      </c>
      <c r="J42" s="41" t="n">
        <v>237.311</v>
      </c>
      <c r="K42" s="42">
        <f>IF(AND(B42="SELL",E42&gt;0,J42&lt;&gt;""),J42/E42,0)</f>
        <v/>
      </c>
      <c r="L42" s="42" t="n">
        <v>0.2355</v>
      </c>
      <c r="M42" s="40">
        <f>IF(AND(B42="SELL",L42&gt;0),D42*L42,0)</f>
        <v/>
      </c>
      <c r="N42" s="36" t="inlineStr">
        <is>
          <t>cambio</t>
        </is>
      </c>
      <c r="O42" s="43">
        <f>IF(AND(B42="SELL",G42&lt;&gt;0),Q42/ABS(G42),0)</f>
        <v/>
      </c>
      <c r="P42" s="43">
        <f>IF(AND(B42="SELL",D42&gt;0),R42/D42,0)</f>
        <v/>
      </c>
      <c r="Q42" s="44">
        <f>IF(AND(B42="SELL",D42&gt;0,E42&gt;0),(D42/E42)+G42,0)</f>
        <v/>
      </c>
      <c r="R42" s="45">
        <f>IF(B42="SELL",Q42*F42,0)</f>
        <v/>
      </c>
      <c r="S42" s="24">
        <f>S41+R42</f>
        <v/>
      </c>
    </row>
    <row r="43" ht="15.75" customHeight="1" s="94">
      <c r="A43" s="46" t="n">
        <v>42</v>
      </c>
      <c r="B43" s="47" t="inlineStr">
        <is>
          <t>SELL</t>
        </is>
      </c>
      <c r="C43" s="48" t="n">
        <v>45912</v>
      </c>
      <c r="D43" s="49" t="n">
        <v>15000</v>
      </c>
      <c r="E43" s="50" t="n">
        <v>964.77</v>
      </c>
      <c r="F43" s="50" t="n">
        <v>964.77</v>
      </c>
      <c r="G43" s="51" t="n">
        <v>-15.08</v>
      </c>
      <c r="H43" s="51" t="n"/>
      <c r="I43" s="30" t="n">
        <v>345.306585700254</v>
      </c>
      <c r="J43" s="51" t="n">
        <v>234.2</v>
      </c>
      <c r="K43" s="52">
        <f>IF(AND(B43="SELL",E43&gt;0,J43&lt;&gt;""),J43/E43,0)</f>
        <v/>
      </c>
      <c r="L43" s="52" t="n">
        <v>0.2245</v>
      </c>
      <c r="M43" s="50">
        <f>IF(AND(B43="SELL",L43&gt;0),D43*L43,0)</f>
        <v/>
      </c>
      <c r="N43" s="46" t="inlineStr">
        <is>
          <t>cambio angel</t>
        </is>
      </c>
      <c r="O43" s="53">
        <f>IF(AND(B43="SELL",G43&lt;&gt;0),Q43/ABS(G43),0)</f>
        <v/>
      </c>
      <c r="P43" s="53">
        <f>IF(AND(B43="SELL",D43&gt;0),R43/D43,0)</f>
        <v/>
      </c>
      <c r="Q43" s="54">
        <f>IF(AND(B43="SELL",D43&gt;0,E43&gt;0),(D43/E43)+G43,0)</f>
        <v/>
      </c>
      <c r="R43" s="55">
        <f>IF(B43="SELL",Q43*F43,0)</f>
        <v/>
      </c>
      <c r="S43" s="35">
        <f>S42+R43</f>
        <v/>
      </c>
    </row>
    <row r="44" ht="15.75" customHeight="1" s="94">
      <c r="A44" s="36" t="n">
        <v>43</v>
      </c>
      <c r="B44" s="37" t="inlineStr">
        <is>
          <t>SELL</t>
        </is>
      </c>
      <c r="C44" s="38" t="n">
        <v>45912</v>
      </c>
      <c r="D44" s="39" t="n">
        <v>70000</v>
      </c>
      <c r="E44" s="40" t="n">
        <v>964.77</v>
      </c>
      <c r="F44" s="40" t="n">
        <v>964.77</v>
      </c>
      <c r="G44" s="41" t="n">
        <v>-69.43000000000001</v>
      </c>
      <c r="H44" s="41" t="n"/>
      <c r="I44" s="19" t="n">
        <v>275.876585700254</v>
      </c>
      <c r="J44" s="41" t="n">
        <v>237.635</v>
      </c>
      <c r="K44" s="42">
        <f>IF(AND(B44="SELL",E44&gt;0,J44&lt;&gt;""),J44/E44,0)</f>
        <v/>
      </c>
      <c r="L44" s="42" t="n">
        <v>0.2245</v>
      </c>
      <c r="M44" s="40">
        <f>IF(AND(B44="SELL",L44&gt;0),D44*L44,0)</f>
        <v/>
      </c>
      <c r="N44" s="36" t="n"/>
      <c r="O44" s="43">
        <f>IF(AND(B44="SELL",G44&lt;&gt;0),Q44/ABS(G44),0)</f>
        <v/>
      </c>
      <c r="P44" s="43">
        <f>IF(AND(B44="SELL",D44&gt;0),R44/D44,0)</f>
        <v/>
      </c>
      <c r="Q44" s="44">
        <f>IF(AND(B44="SELL",D44&gt;0,E44&gt;0),(D44/E44)+G44,0)</f>
        <v/>
      </c>
      <c r="R44" s="45">
        <f>IF(B44="SELL",Q44*F44,0)</f>
        <v/>
      </c>
      <c r="S44" s="24">
        <f>S43+R44</f>
        <v/>
      </c>
    </row>
    <row r="45" ht="15.75" customHeight="1" s="94">
      <c r="A45" s="46" t="n">
        <v>44</v>
      </c>
      <c r="B45" s="47" t="inlineStr">
        <is>
          <t>SELL</t>
        </is>
      </c>
      <c r="C45" s="48" t="n">
        <v>45913</v>
      </c>
      <c r="D45" s="49" t="n">
        <v>50000</v>
      </c>
      <c r="E45" s="50" t="n">
        <v>964.77</v>
      </c>
      <c r="F45" s="50" t="n">
        <v>964.77</v>
      </c>
      <c r="G45" s="51" t="n">
        <v>-49.12</v>
      </c>
      <c r="H45" s="51" t="n"/>
      <c r="I45" s="30" t="n">
        <v>226.756585700254</v>
      </c>
      <c r="J45" s="51" t="n">
        <v>240.2</v>
      </c>
      <c r="K45" s="52">
        <f>IF(AND(B45="SELL",E45&gt;0,J45&lt;&gt;""),J45/E45,0)</f>
        <v/>
      </c>
      <c r="L45" s="52" t="n">
        <v>0.236</v>
      </c>
      <c r="M45" s="50">
        <f>IF(AND(B45="SELL",L45&gt;0),D45*L45,0)</f>
        <v/>
      </c>
      <c r="N45" s="46" t="n"/>
      <c r="O45" s="53">
        <f>IF(AND(B45="SELL",G45&lt;&gt;0),Q45/ABS(G45),0)</f>
        <v/>
      </c>
      <c r="P45" s="53">
        <f>IF(AND(B45="SELL",D45&gt;0),R45/D45,0)</f>
        <v/>
      </c>
      <c r="Q45" s="54">
        <f>IF(AND(B45="SELL",D45&gt;0,E45&gt;0),(D45/E45)+G45,0)</f>
        <v/>
      </c>
      <c r="R45" s="55">
        <f>IF(B45="SELL",Q45*F45,0)</f>
        <v/>
      </c>
      <c r="S45" s="35">
        <f>S44+R45</f>
        <v/>
      </c>
    </row>
    <row r="46" ht="15.75" customHeight="1" s="94">
      <c r="A46" s="36" t="n">
        <v>45</v>
      </c>
      <c r="B46" s="37" t="inlineStr">
        <is>
          <t>SELL</t>
        </is>
      </c>
      <c r="C46" s="38" t="n">
        <v>45914</v>
      </c>
      <c r="D46" s="39" t="n">
        <v>15800</v>
      </c>
      <c r="E46" s="40" t="n">
        <v>964.77</v>
      </c>
      <c r="F46" s="40" t="n">
        <v>964.77</v>
      </c>
      <c r="G46" s="41" t="n">
        <v>-15.62</v>
      </c>
      <c r="H46" s="41" t="n"/>
      <c r="I46" s="19" t="n">
        <v>211.136585700254</v>
      </c>
      <c r="J46" s="41" t="n">
        <v>240</v>
      </c>
      <c r="K46" s="42">
        <f>IF(AND(B46="SELL",E46&gt;0,J46&lt;&gt;""),J46/E46,0)</f>
        <v/>
      </c>
      <c r="L46" s="42" t="n">
        <v>0.2375</v>
      </c>
      <c r="M46" s="40">
        <f>IF(AND(B46="SELL",L46&gt;0),D46*L46,0)</f>
        <v/>
      </c>
      <c r="N46" s="36" t="n"/>
      <c r="O46" s="43">
        <f>IF(AND(B46="SELL",G46&lt;&gt;0),Q46/ABS(G46),0)</f>
        <v/>
      </c>
      <c r="P46" s="43">
        <f>IF(AND(B46="SELL",D46&gt;0),R46/D46,0)</f>
        <v/>
      </c>
      <c r="Q46" s="44">
        <f>IF(AND(B46="SELL",D46&gt;0,E46&gt;0),(D46/E46)+G46,0)</f>
        <v/>
      </c>
      <c r="R46" s="45">
        <f>IF(B46="SELL",Q46*F46,0)</f>
        <v/>
      </c>
      <c r="S46" s="24">
        <f>S45+R46</f>
        <v/>
      </c>
    </row>
    <row r="47" ht="15.75" customHeight="1" s="94">
      <c r="A47" s="46" t="n">
        <v>46</v>
      </c>
      <c r="B47" s="47" t="inlineStr">
        <is>
          <t>SELL</t>
        </is>
      </c>
      <c r="C47" s="48" t="n">
        <v>45914</v>
      </c>
      <c r="D47" s="49" t="n">
        <v>60000</v>
      </c>
      <c r="E47" s="50" t="n">
        <v>964.77</v>
      </c>
      <c r="F47" s="50" t="n">
        <v>964.77</v>
      </c>
      <c r="G47" s="51" t="n">
        <v>-58.52</v>
      </c>
      <c r="H47" s="51" t="n"/>
      <c r="I47" s="30" t="n">
        <v>152.616585700254</v>
      </c>
      <c r="J47" s="51" t="n">
        <v>243.5</v>
      </c>
      <c r="K47" s="52">
        <f>IF(AND(B47="SELL",E47&gt;0,J47&lt;&gt;""),J47/E47,0)</f>
        <v/>
      </c>
      <c r="L47" s="52" t="n">
        <v>0.2375</v>
      </c>
      <c r="M47" s="50">
        <f>IF(AND(B47="SELL",L47&gt;0),D47*L47,0)</f>
        <v/>
      </c>
      <c r="N47" s="46" t="n"/>
      <c r="O47" s="53">
        <f>IF(AND(B47="SELL",G47&lt;&gt;0),Q47/ABS(G47),0)</f>
        <v/>
      </c>
      <c r="P47" s="53">
        <f>IF(AND(B47="SELL",D47&gt;0),R47/D47,0)</f>
        <v/>
      </c>
      <c r="Q47" s="54">
        <f>IF(AND(B47="SELL",D47&gt;0,E47&gt;0),(D47/E47)+G47,0)</f>
        <v/>
      </c>
      <c r="R47" s="55">
        <f>IF(B47="SELL",Q47*F47,0)</f>
        <v/>
      </c>
      <c r="S47" s="35">
        <f>S46+R47</f>
        <v/>
      </c>
    </row>
    <row r="48" ht="15.75" customHeight="1" s="94">
      <c r="A48" s="14" t="n">
        <v>47</v>
      </c>
      <c r="B48" s="15" t="inlineStr">
        <is>
          <t>BUY</t>
        </is>
      </c>
      <c r="C48" s="16" t="n">
        <v>45915</v>
      </c>
      <c r="D48" s="17" t="n">
        <v>910000</v>
      </c>
      <c r="E48" s="18" t="n">
        <v>955.5</v>
      </c>
      <c r="F48" s="18" t="n">
        <v>955.5</v>
      </c>
      <c r="G48" s="19" t="n">
        <v>952.48</v>
      </c>
      <c r="H48" s="19" t="n"/>
      <c r="I48" s="19" t="n">
        <v>1105.09658570025</v>
      </c>
      <c r="J48" s="19" t="n"/>
      <c r="K48" s="20">
        <f>IF(AND(B48="SELL",E48&gt;0,J48&lt;&gt;""),J48/E48,0)</f>
        <v/>
      </c>
      <c r="L48" s="20" t="n"/>
      <c r="M48" s="18">
        <f>IF(AND(B48="SELL",L48&gt;0),D48*L48,0)</f>
        <v/>
      </c>
      <c r="N48" s="14" t="n"/>
      <c r="O48" s="21">
        <f>IF(AND(B48="SELL",G48&lt;&gt;0),Q48/ABS(G48),0)</f>
        <v/>
      </c>
      <c r="P48" s="21">
        <f>IF(AND(B48="SELL",D48&gt;0),R48/D48,0)</f>
        <v/>
      </c>
      <c r="Q48" s="22">
        <f>IF(AND(B48="SELL",D48&gt;0,E48&gt;0),(D48/E48)+G48,0)</f>
        <v/>
      </c>
      <c r="R48" s="23">
        <f>IF(B48="SELL",Q48*F48,0)</f>
        <v/>
      </c>
      <c r="S48" s="24">
        <f>S47+R48</f>
        <v/>
      </c>
    </row>
    <row r="49" ht="15.75" customHeight="1" s="94">
      <c r="A49" s="46" t="n">
        <v>48</v>
      </c>
      <c r="B49" s="47" t="inlineStr">
        <is>
          <t>SELL</t>
        </is>
      </c>
      <c r="C49" s="48" t="n">
        <v>45915</v>
      </c>
      <c r="D49" s="49" t="n">
        <v>540000</v>
      </c>
      <c r="E49" s="50" t="n">
        <v>955.5</v>
      </c>
      <c r="F49" s="50" t="n">
        <v>955.5</v>
      </c>
      <c r="G49" s="51" t="n">
        <v>-534.1</v>
      </c>
      <c r="H49" s="51" t="n"/>
      <c r="I49" s="30" t="n">
        <v>570.9965857002539</v>
      </c>
      <c r="J49" s="51" t="n">
        <v>1.01</v>
      </c>
      <c r="K49" s="52">
        <f>IF(AND(B49="SELL",E49&gt;0,J49&lt;&gt;""),J49/E49,0)</f>
        <v/>
      </c>
      <c r="L49" s="52" t="n">
        <v>0.0009990000000000001</v>
      </c>
      <c r="M49" s="50">
        <f>IF(AND(B49="SELL",L49&gt;0),D49*L49,0)</f>
        <v/>
      </c>
      <c r="N49" s="46" t="inlineStr">
        <is>
          <t>cambio daryeli</t>
        </is>
      </c>
      <c r="O49" s="53">
        <f>IF(AND(B49="SELL",G49&lt;&gt;0),Q49/ABS(G49),0)</f>
        <v/>
      </c>
      <c r="P49" s="53">
        <f>IF(AND(B49="SELL",D49&gt;0),R49/D49,0)</f>
        <v/>
      </c>
      <c r="Q49" s="54">
        <f>IF(AND(B49="SELL",D49&gt;0,E49&gt;0),(D49/E49)+G49,0)</f>
        <v/>
      </c>
      <c r="R49" s="55">
        <f>IF(B49="SELL",Q49*F49,0)</f>
        <v/>
      </c>
      <c r="S49" s="35">
        <f>S48+R49</f>
        <v/>
      </c>
    </row>
    <row r="50" ht="15.75" customHeight="1" s="94">
      <c r="A50" s="36" t="n">
        <v>49</v>
      </c>
      <c r="B50" s="37" t="inlineStr">
        <is>
          <t>SELL</t>
        </is>
      </c>
      <c r="C50" s="38" t="n">
        <v>45915</v>
      </c>
      <c r="D50" s="39" t="n">
        <v>50000</v>
      </c>
      <c r="E50" s="40" t="n">
        <v>955.5</v>
      </c>
      <c r="F50" s="40" t="n">
        <v>955.5</v>
      </c>
      <c r="G50" s="41" t="n">
        <v>-48.97</v>
      </c>
      <c r="H50" s="41" t="n"/>
      <c r="I50" s="19" t="n">
        <v>522.026585700254</v>
      </c>
      <c r="J50" s="41" t="n">
        <v>243.5</v>
      </c>
      <c r="K50" s="42">
        <f>IF(AND(B50="SELL",E50&gt;0,J50&lt;&gt;""),J50/E50,0)</f>
        <v/>
      </c>
      <c r="L50" s="42" t="n">
        <v>0.2385</v>
      </c>
      <c r="M50" s="40">
        <f>IF(AND(B50="SELL",L50&gt;0),D50*L50,0)</f>
        <v/>
      </c>
      <c r="N50" s="36" t="inlineStr">
        <is>
          <t>cambio angel</t>
        </is>
      </c>
      <c r="O50" s="43">
        <f>IF(AND(B50="SELL",G50&lt;&gt;0),Q50/ABS(G50),0)</f>
        <v/>
      </c>
      <c r="P50" s="43">
        <f>IF(AND(B50="SELL",D50&gt;0),R50/D50,0)</f>
        <v/>
      </c>
      <c r="Q50" s="44">
        <f>IF(AND(B50="SELL",D50&gt;0,E50&gt;0),(D50/E50)+G50,0)</f>
        <v/>
      </c>
      <c r="R50" s="45">
        <f>IF(B50="SELL",Q50*F50,0)</f>
        <v/>
      </c>
      <c r="S50" s="24">
        <f>S49+R50</f>
        <v/>
      </c>
    </row>
    <row r="51" ht="15.75" customHeight="1" s="94">
      <c r="A51" s="46" t="n">
        <v>50</v>
      </c>
      <c r="B51" s="47" t="inlineStr">
        <is>
          <t>SELL</t>
        </is>
      </c>
      <c r="C51" s="48" t="n">
        <v>45915</v>
      </c>
      <c r="D51" s="49" t="n">
        <v>40000</v>
      </c>
      <c r="E51" s="50" t="n">
        <v>955.5</v>
      </c>
      <c r="F51" s="50" t="n">
        <v>955.5</v>
      </c>
      <c r="G51" s="51" t="n">
        <v>-39.5</v>
      </c>
      <c r="H51" s="51" t="n"/>
      <c r="I51" s="30" t="n">
        <v>482.526585700254</v>
      </c>
      <c r="J51" s="51" t="n">
        <v>241.5</v>
      </c>
      <c r="K51" s="52">
        <f>IF(AND(B51="SELL",E51&gt;0,J51&lt;&gt;""),J51/E51,0)</f>
        <v/>
      </c>
      <c r="L51" s="52" t="n">
        <v>0.2385</v>
      </c>
      <c r="M51" s="50">
        <f>IF(AND(B51="SELL",L51&gt;0),D51*L51,0)</f>
        <v/>
      </c>
      <c r="N51" s="46" t="inlineStr">
        <is>
          <t>cambio paula</t>
        </is>
      </c>
      <c r="O51" s="53">
        <f>IF(AND(B51="SELL",G51&lt;&gt;0),Q51/ABS(G51),0)</f>
        <v/>
      </c>
      <c r="P51" s="53">
        <f>IF(AND(B51="SELL",D51&gt;0),R51/D51,0)</f>
        <v/>
      </c>
      <c r="Q51" s="54">
        <f>IF(AND(B51="SELL",D51&gt;0,E51&gt;0),(D51/E51)+G51,0)</f>
        <v/>
      </c>
      <c r="R51" s="55">
        <f>IF(B51="SELL",Q51*F51,0)</f>
        <v/>
      </c>
      <c r="S51" s="35">
        <f>S50+R51</f>
        <v/>
      </c>
    </row>
    <row r="52" ht="15.75" customHeight="1" s="94">
      <c r="A52" s="36" t="n">
        <v>51</v>
      </c>
      <c r="B52" s="37" t="inlineStr">
        <is>
          <t>SELL</t>
        </is>
      </c>
      <c r="C52" s="38" t="n">
        <v>45915</v>
      </c>
      <c r="D52" s="39" t="n">
        <v>22000</v>
      </c>
      <c r="E52" s="40" t="n">
        <v>955.5</v>
      </c>
      <c r="F52" s="40" t="n">
        <v>955.5</v>
      </c>
      <c r="G52" s="41" t="n">
        <v>-21.99</v>
      </c>
      <c r="H52" s="41" t="n"/>
      <c r="I52" s="19" t="n">
        <v>460.536585700254</v>
      </c>
      <c r="J52" s="41" t="n">
        <v>239.7722</v>
      </c>
      <c r="K52" s="42">
        <f>IF(AND(B52="SELL",E52&gt;0,J52&lt;&gt;""),J52/E52,0)</f>
        <v/>
      </c>
      <c r="L52" s="42" t="n">
        <v>0.2385</v>
      </c>
      <c r="M52" s="40">
        <f>IF(AND(B52="SELL",L52&gt;0),D52*L52,0)</f>
        <v/>
      </c>
      <c r="N52" s="36" t="inlineStr">
        <is>
          <t>cambio paula</t>
        </is>
      </c>
      <c r="O52" s="43">
        <f>IF(AND(B52="SELL",G52&lt;&gt;0),Q52/ABS(G52),0)</f>
        <v/>
      </c>
      <c r="P52" s="43">
        <f>IF(AND(B52="SELL",D52&gt;0),R52/D52,0)</f>
        <v/>
      </c>
      <c r="Q52" s="44">
        <f>IF(AND(B52="SELL",D52&gt;0,E52&gt;0),(D52/E52)+G52,0)</f>
        <v/>
      </c>
      <c r="R52" s="45">
        <f>IF(B52="SELL",Q52*F52,0)</f>
        <v/>
      </c>
      <c r="S52" s="24">
        <f>S51+R52</f>
        <v/>
      </c>
    </row>
    <row r="53" ht="15.75" customHeight="1" s="94">
      <c r="A53" s="46" t="n">
        <v>52</v>
      </c>
      <c r="B53" s="47" t="inlineStr">
        <is>
          <t>SELL</t>
        </is>
      </c>
      <c r="C53" s="48" t="n">
        <v>45915</v>
      </c>
      <c r="D53" s="49" t="n">
        <v>30000</v>
      </c>
      <c r="E53" s="50" t="n">
        <v>955.5</v>
      </c>
      <c r="F53" s="50" t="n">
        <v>955.5</v>
      </c>
      <c r="G53" s="51" t="n">
        <v>-29.74</v>
      </c>
      <c r="H53" s="51" t="n"/>
      <c r="I53" s="30" t="n">
        <v>430.796585700254</v>
      </c>
      <c r="J53" s="51" t="n">
        <v>240.3824</v>
      </c>
      <c r="K53" s="52">
        <f>IF(AND(B53="SELL",E53&gt;0,J53&lt;&gt;""),J53/E53,0)</f>
        <v/>
      </c>
      <c r="L53" s="52" t="n">
        <v>0.2385</v>
      </c>
      <c r="M53" s="50">
        <f>IF(AND(B53="SELL",L53&gt;0),D53*L53,0)</f>
        <v/>
      </c>
      <c r="N53" s="46" t="inlineStr">
        <is>
          <t>cambio wale</t>
        </is>
      </c>
      <c r="O53" s="53">
        <f>IF(AND(B53="SELL",G53&lt;&gt;0),Q53/ABS(G53),0)</f>
        <v/>
      </c>
      <c r="P53" s="53">
        <f>IF(AND(B53="SELL",D53&gt;0),R53/D53,0)</f>
        <v/>
      </c>
      <c r="Q53" s="54">
        <f>IF(AND(B53="SELL",D53&gt;0,E53&gt;0),(D53/E53)+G53,0)</f>
        <v/>
      </c>
      <c r="R53" s="55">
        <f>IF(B53="SELL",Q53*F53,0)</f>
        <v/>
      </c>
      <c r="S53" s="35">
        <f>S52+R53</f>
        <v/>
      </c>
    </row>
    <row r="54" ht="15.75" customHeight="1" s="94">
      <c r="A54" s="36" t="n">
        <v>53</v>
      </c>
      <c r="B54" s="37" t="inlineStr">
        <is>
          <t>SELL</t>
        </is>
      </c>
      <c r="C54" s="38" t="n">
        <v>45916</v>
      </c>
      <c r="D54" s="39" t="n">
        <v>80000</v>
      </c>
      <c r="E54" s="40" t="n">
        <v>955.5</v>
      </c>
      <c r="F54" s="40" t="n">
        <v>955.5</v>
      </c>
      <c r="G54" s="41" t="n">
        <v>-78.40000000000001</v>
      </c>
      <c r="H54" s="41" t="n"/>
      <c r="I54" s="19" t="n">
        <v>352.396585700254</v>
      </c>
      <c r="J54" s="41" t="n">
        <v>240.801</v>
      </c>
      <c r="K54" s="42">
        <f>IF(AND(B54="SELL",E54&gt;0,J54&lt;&gt;""),J54/E54,0)</f>
        <v/>
      </c>
      <c r="L54" s="42" t="n">
        <v>0.236</v>
      </c>
      <c r="M54" s="40">
        <f>IF(AND(B54="SELL",L54&gt;0),D54*L54,0)</f>
        <v/>
      </c>
      <c r="N54" s="36" t="n"/>
      <c r="O54" s="43">
        <f>IF(AND(B54="SELL",G54&lt;&gt;0),Q54/ABS(G54),0)</f>
        <v/>
      </c>
      <c r="P54" s="43">
        <f>IF(AND(B54="SELL",D54&gt;0),R54/D54,0)</f>
        <v/>
      </c>
      <c r="Q54" s="44">
        <f>IF(AND(B54="SELL",D54&gt;0,E54&gt;0),(D54/E54)+G54,0)</f>
        <v/>
      </c>
      <c r="R54" s="45">
        <f>IF(B54="SELL",Q54*F54,0)</f>
        <v/>
      </c>
      <c r="S54" s="24">
        <f>S53+R54</f>
        <v/>
      </c>
    </row>
    <row r="55" ht="15.75" customHeight="1" s="94">
      <c r="A55" s="46" t="n">
        <v>54</v>
      </c>
      <c r="B55" s="47" t="inlineStr">
        <is>
          <t>SELL</t>
        </is>
      </c>
      <c r="C55" s="48" t="n">
        <v>45916</v>
      </c>
      <c r="D55" s="49" t="n">
        <v>60500</v>
      </c>
      <c r="E55" s="50" t="n">
        <v>955.5</v>
      </c>
      <c r="F55" s="50" t="n">
        <v>955.5</v>
      </c>
      <c r="G55" s="51" t="n">
        <v>-57.67</v>
      </c>
      <c r="H55" s="51" t="n"/>
      <c r="I55" s="30" t="n">
        <v>294.726585700254</v>
      </c>
      <c r="J55" s="51" t="n">
        <v>247.61</v>
      </c>
      <c r="K55" s="52">
        <f>IF(AND(B55="SELL",E55&gt;0,J55&lt;&gt;""),J55/E55,0)</f>
        <v/>
      </c>
      <c r="L55" s="52" t="n">
        <v>0.236</v>
      </c>
      <c r="M55" s="50">
        <f>IF(AND(B55="SELL",L55&gt;0),D55*L55,0)</f>
        <v/>
      </c>
      <c r="N55" s="46" t="n"/>
      <c r="O55" s="53">
        <f>IF(AND(B55="SELL",G55&lt;&gt;0),Q55/ABS(G55),0)</f>
        <v/>
      </c>
      <c r="P55" s="53">
        <f>IF(AND(B55="SELL",D55&gt;0),R55/D55,0)</f>
        <v/>
      </c>
      <c r="Q55" s="54">
        <f>IF(AND(B55="SELL",D55&gt;0,E55&gt;0),(D55/E55)+G55,0)</f>
        <v/>
      </c>
      <c r="R55" s="55">
        <f>IF(B55="SELL",Q55*F55,0)</f>
        <v/>
      </c>
      <c r="S55" s="35">
        <f>S54+R55</f>
        <v/>
      </c>
    </row>
    <row r="56" ht="15.75" customHeight="1" s="94">
      <c r="A56" s="36" t="n">
        <v>55</v>
      </c>
      <c r="B56" s="37" t="inlineStr">
        <is>
          <t>SELL</t>
        </is>
      </c>
      <c r="C56" s="38" t="n">
        <v>45916</v>
      </c>
      <c r="D56" s="39" t="n">
        <v>40000</v>
      </c>
      <c r="E56" s="40" t="n">
        <v>955.5</v>
      </c>
      <c r="F56" s="40" t="n">
        <v>955.5</v>
      </c>
      <c r="G56" s="41" t="n">
        <v>-38.06</v>
      </c>
      <c r="H56" s="41" t="n"/>
      <c r="I56" s="19" t="n">
        <v>256.666585700254</v>
      </c>
      <c r="J56" s="41" t="n">
        <v>248.001</v>
      </c>
      <c r="K56" s="42">
        <f>IF(AND(B56="SELL",E56&gt;0,J56&lt;&gt;""),J56/E56,0)</f>
        <v/>
      </c>
      <c r="L56" s="42" t="n">
        <v>0.236</v>
      </c>
      <c r="M56" s="40">
        <f>IF(AND(B56="SELL",L56&gt;0),D56*L56,0)</f>
        <v/>
      </c>
      <c r="N56" s="36" t="n"/>
      <c r="O56" s="43">
        <f>IF(AND(B56="SELL",G56&lt;&gt;0),Q56/ABS(G56),0)</f>
        <v/>
      </c>
      <c r="P56" s="43">
        <f>IF(AND(B56="SELL",D56&gt;0),R56/D56,0)</f>
        <v/>
      </c>
      <c r="Q56" s="44">
        <f>IF(AND(B56="SELL",D56&gt;0,E56&gt;0),(D56/E56)+G56,0)</f>
        <v/>
      </c>
      <c r="R56" s="45">
        <f>IF(B56="SELL",Q56*F56,0)</f>
        <v/>
      </c>
      <c r="S56" s="24">
        <f>S55+R56</f>
        <v/>
      </c>
    </row>
    <row r="57" ht="15.75" customHeight="1" s="94">
      <c r="A57" s="46" t="n">
        <v>56</v>
      </c>
      <c r="B57" s="47" t="inlineStr">
        <is>
          <t>SELL</t>
        </is>
      </c>
      <c r="C57" s="48" t="n">
        <v>45917</v>
      </c>
      <c r="D57" s="49" t="n">
        <v>30000</v>
      </c>
      <c r="E57" s="50" t="n">
        <v>955.5</v>
      </c>
      <c r="F57" s="50" t="n">
        <v>955.5</v>
      </c>
      <c r="G57" s="51" t="n">
        <v>-29.58</v>
      </c>
      <c r="H57" s="51" t="n"/>
      <c r="I57" s="30" t="n">
        <v>227.086585700254</v>
      </c>
      <c r="J57" s="51" t="n">
        <v>0.85</v>
      </c>
      <c r="K57" s="52">
        <f>IF(AND(B57="SELL",E57&gt;0,J57&lt;&gt;""),J57/E57,0)</f>
        <v/>
      </c>
      <c r="L57" s="52" t="n">
        <v>0.000834</v>
      </c>
      <c r="M57" s="50">
        <f>IF(AND(B57="SELL",L57&gt;0),D57*L57,0)</f>
        <v/>
      </c>
      <c r="N57" s="46" t="n"/>
      <c r="O57" s="53">
        <f>IF(AND(B57="SELL",G57&lt;&gt;0),Q57/ABS(G57),0)</f>
        <v/>
      </c>
      <c r="P57" s="53">
        <f>IF(AND(B57="SELL",D57&gt;0),R57/D57,0)</f>
        <v/>
      </c>
      <c r="Q57" s="54">
        <f>IF(AND(B57="SELL",D57&gt;0,E57&gt;0),(D57/E57)+G57,0)</f>
        <v/>
      </c>
      <c r="R57" s="55">
        <f>IF(B57="SELL",Q57*F57,0)</f>
        <v/>
      </c>
      <c r="S57" s="35">
        <f>S56+R57</f>
        <v/>
      </c>
    </row>
    <row r="58" ht="15.75" customHeight="1" s="94">
      <c r="A58" s="36" t="n">
        <v>57</v>
      </c>
      <c r="B58" s="37" t="inlineStr">
        <is>
          <t>SELL</t>
        </is>
      </c>
      <c r="C58" s="38" t="n">
        <v>45917</v>
      </c>
      <c r="D58" s="39" t="n">
        <v>100000</v>
      </c>
      <c r="E58" s="40" t="n">
        <v>955.5</v>
      </c>
      <c r="F58" s="40" t="n">
        <v>955.5</v>
      </c>
      <c r="G58" s="41" t="n">
        <v>-94.84</v>
      </c>
      <c r="H58" s="41" t="n"/>
      <c r="I58" s="19" t="n">
        <v>132.246585700254</v>
      </c>
      <c r="J58" s="41" t="n">
        <v>263.6</v>
      </c>
      <c r="K58" s="42">
        <f>IF(AND(B58="SELL",E58&gt;0,J58&lt;&gt;""),J58/E58,0)</f>
        <v/>
      </c>
      <c r="L58" s="42" t="n">
        <v>0.25</v>
      </c>
      <c r="M58" s="40">
        <f>IF(AND(B58="SELL",L58&gt;0),D58*L58,0)</f>
        <v/>
      </c>
      <c r="N58" s="36" t="n"/>
      <c r="O58" s="43">
        <f>IF(AND(B58="SELL",G58&lt;&gt;0),Q58/ABS(G58),0)</f>
        <v/>
      </c>
      <c r="P58" s="43">
        <f>IF(AND(B58="SELL",D58&gt;0),R58/D58,0)</f>
        <v/>
      </c>
      <c r="Q58" s="44">
        <f>IF(AND(B58="SELL",D58&gt;0,E58&gt;0),(D58/E58)+G58,0)</f>
        <v/>
      </c>
      <c r="R58" s="45">
        <f>IF(B58="SELL",Q58*F58,0)</f>
        <v/>
      </c>
      <c r="S58" s="24">
        <f>S57+R58</f>
        <v/>
      </c>
    </row>
    <row r="59" ht="15.75" customHeight="1" s="94">
      <c r="A59" s="46" t="n">
        <v>58</v>
      </c>
      <c r="B59" s="47" t="inlineStr">
        <is>
          <t>SELL</t>
        </is>
      </c>
      <c r="C59" s="48" t="n">
        <v>45917</v>
      </c>
      <c r="D59" s="49" t="n">
        <v>20000</v>
      </c>
      <c r="E59" s="50" t="n">
        <v>955.5</v>
      </c>
      <c r="F59" s="50" t="n">
        <v>955.5</v>
      </c>
      <c r="G59" s="51" t="n">
        <v>-19.59</v>
      </c>
      <c r="H59" s="51" t="n"/>
      <c r="I59" s="30" t="n">
        <v>112.656585700254</v>
      </c>
      <c r="J59" s="51" t="n">
        <v>3806.5</v>
      </c>
      <c r="K59" s="52">
        <f>IF(AND(B59="SELL",E59&gt;0,J59&lt;&gt;""),J59/E59,0)</f>
        <v/>
      </c>
      <c r="L59" s="52" t="n">
        <v>3.73</v>
      </c>
      <c r="M59" s="50">
        <f>IF(AND(B59="SELL",L59&gt;0),D59*L59,0)</f>
        <v/>
      </c>
      <c r="N59" s="46" t="n"/>
      <c r="O59" s="53">
        <f>IF(AND(B59="SELL",G59&lt;&gt;0),Q59/ABS(G59),0)</f>
        <v/>
      </c>
      <c r="P59" s="53">
        <f>IF(AND(B59="SELL",D59&gt;0),R59/D59,0)</f>
        <v/>
      </c>
      <c r="Q59" s="54">
        <f>IF(AND(B59="SELL",D59&gt;0,E59&gt;0),(D59/E59)+G59,0)</f>
        <v/>
      </c>
      <c r="R59" s="55">
        <f>IF(B59="SELL",Q59*F59,0)</f>
        <v/>
      </c>
      <c r="S59" s="35">
        <f>S58+R59</f>
        <v/>
      </c>
    </row>
    <row r="60" ht="15.75" customHeight="1" s="94">
      <c r="A60" s="36" t="n">
        <v>59</v>
      </c>
      <c r="B60" s="37" t="inlineStr">
        <is>
          <t>SELL</t>
        </is>
      </c>
      <c r="C60" s="38" t="n">
        <v>45917</v>
      </c>
      <c r="D60" s="39" t="n">
        <v>10000</v>
      </c>
      <c r="E60" s="40" t="n">
        <v>955.5</v>
      </c>
      <c r="F60" s="40" t="n">
        <v>955.5</v>
      </c>
      <c r="G60" s="41" t="n">
        <v>-9.76</v>
      </c>
      <c r="H60" s="41" t="n"/>
      <c r="I60" s="19" t="n">
        <v>102.896585700254</v>
      </c>
      <c r="J60" s="41" t="n">
        <v>256.005</v>
      </c>
      <c r="K60" s="42">
        <f>IF(AND(B60="SELL",E60&gt;0,J60&lt;&gt;""),J60/E60,0)</f>
        <v/>
      </c>
      <c r="L60" s="42" t="n">
        <v>0.25</v>
      </c>
      <c r="M60" s="40">
        <f>IF(AND(B60="SELL",L60&gt;0),D60*L60,0)</f>
        <v/>
      </c>
      <c r="N60" s="36" t="n"/>
      <c r="O60" s="43">
        <f>IF(AND(B60="SELL",G60&lt;&gt;0),Q60/ABS(G60),0)</f>
        <v/>
      </c>
      <c r="P60" s="43">
        <f>IF(AND(B60="SELL",D60&gt;0),R60/D60,0)</f>
        <v/>
      </c>
      <c r="Q60" s="44">
        <f>IF(AND(B60="SELL",D60&gt;0,E60&gt;0),(D60/E60)+G60,0)</f>
        <v/>
      </c>
      <c r="R60" s="45">
        <f>IF(B60="SELL",Q60*F60,0)</f>
        <v/>
      </c>
      <c r="S60" s="24">
        <f>S59+R60</f>
        <v/>
      </c>
    </row>
    <row r="61" ht="15.75" customHeight="1" s="94">
      <c r="A61" s="46" t="n">
        <v>60</v>
      </c>
      <c r="B61" s="47" t="inlineStr">
        <is>
          <t>SELL</t>
        </is>
      </c>
      <c r="C61" s="48" t="n">
        <v>45918</v>
      </c>
      <c r="D61" s="49" t="n">
        <v>50000</v>
      </c>
      <c r="E61" s="50" t="n">
        <v>955.5</v>
      </c>
      <c r="F61" s="50" t="n">
        <v>955.5</v>
      </c>
      <c r="G61" s="51" t="n">
        <v>-49.69</v>
      </c>
      <c r="H61" s="51" t="n"/>
      <c r="I61" s="30" t="n">
        <v>53.206585700254</v>
      </c>
      <c r="J61" s="51" t="n">
        <v>261.61</v>
      </c>
      <c r="K61" s="52">
        <f>IF(AND(B61="SELL",E61&gt;0,J61&lt;&gt;""),J61/E61,0)</f>
        <v/>
      </c>
      <c r="L61" s="52" t="n">
        <v>0.26</v>
      </c>
      <c r="M61" s="50">
        <f>IF(AND(B61="SELL",L61&gt;0),D61*L61,0)</f>
        <v/>
      </c>
      <c r="N61" s="46" t="n"/>
      <c r="O61" s="53">
        <f>IF(AND(B61="SELL",G61&lt;&gt;0),Q61/ABS(G61),0)</f>
        <v/>
      </c>
      <c r="P61" s="53">
        <f>IF(AND(B61="SELL",D61&gt;0),R61/D61,0)</f>
        <v/>
      </c>
      <c r="Q61" s="54">
        <f>IF(AND(B61="SELL",D61&gt;0,E61&gt;0),(D61/E61)+G61,0)</f>
        <v/>
      </c>
      <c r="R61" s="55">
        <f>IF(B61="SELL",Q61*F61,0)</f>
        <v/>
      </c>
      <c r="S61" s="35">
        <f>S60+R61</f>
        <v/>
      </c>
    </row>
    <row r="62" ht="15.75" customHeight="1" s="94">
      <c r="A62" s="36" t="n">
        <v>61</v>
      </c>
      <c r="B62" s="37" t="inlineStr">
        <is>
          <t>SELL</t>
        </is>
      </c>
      <c r="C62" s="38" t="n">
        <v>45918</v>
      </c>
      <c r="D62" s="39" t="n">
        <v>10000</v>
      </c>
      <c r="E62" s="40" t="n">
        <v>955.5</v>
      </c>
      <c r="F62" s="40" t="n">
        <v>955.5</v>
      </c>
      <c r="G62" s="41" t="n">
        <v>-9.99</v>
      </c>
      <c r="H62" s="41" t="n"/>
      <c r="I62" s="19" t="n">
        <v>43.216585700254</v>
      </c>
      <c r="J62" s="41" t="n">
        <v>260.101</v>
      </c>
      <c r="K62" s="42">
        <f>IF(AND(B62="SELL",E62&gt;0,J62&lt;&gt;""),J62/E62,0)</f>
        <v/>
      </c>
      <c r="L62" s="42" t="n">
        <v>0.26</v>
      </c>
      <c r="M62" s="40">
        <f>IF(AND(B62="SELL",L62&gt;0),D62*L62,0)</f>
        <v/>
      </c>
      <c r="N62" s="36" t="n"/>
      <c r="O62" s="43">
        <f>IF(AND(B62="SELL",G62&lt;&gt;0),Q62/ABS(G62),0)</f>
        <v/>
      </c>
      <c r="P62" s="43">
        <f>IF(AND(B62="SELL",D62&gt;0),R62/D62,0)</f>
        <v/>
      </c>
      <c r="Q62" s="44">
        <f>IF(AND(B62="SELL",D62&gt;0,E62&gt;0),(D62/E62)+G62,0)</f>
        <v/>
      </c>
      <c r="R62" s="45">
        <f>IF(B62="SELL",Q62*F62,0)</f>
        <v/>
      </c>
      <c r="S62" s="24">
        <f>S61+R62</f>
        <v/>
      </c>
    </row>
    <row r="63" ht="15.75" customHeight="1" s="94">
      <c r="A63" s="46" t="n">
        <v>62</v>
      </c>
      <c r="B63" s="47" t="inlineStr">
        <is>
          <t>SELL</t>
        </is>
      </c>
      <c r="C63" s="48" t="n">
        <v>45918</v>
      </c>
      <c r="D63" s="49" t="n">
        <v>20000</v>
      </c>
      <c r="E63" s="50" t="n">
        <v>955.5</v>
      </c>
      <c r="F63" s="50" t="n">
        <v>955.5</v>
      </c>
      <c r="G63" s="51" t="n">
        <v>-19.75</v>
      </c>
      <c r="H63" s="51" t="n"/>
      <c r="I63" s="30" t="n">
        <v>23.466585700254</v>
      </c>
      <c r="J63" s="51" t="n">
        <v>263.2</v>
      </c>
      <c r="K63" s="52">
        <f>IF(AND(B63="SELL",E63&gt;0,J63&lt;&gt;""),J63/E63,0)</f>
        <v/>
      </c>
      <c r="L63" s="52" t="n">
        <v>0.26</v>
      </c>
      <c r="M63" s="50">
        <f>IF(AND(B63="SELL",L63&gt;0),D63*L63,0)</f>
        <v/>
      </c>
      <c r="N63" s="46" t="n"/>
      <c r="O63" s="53">
        <f>IF(AND(B63="SELL",G63&lt;&gt;0),Q63/ABS(G63),0)</f>
        <v/>
      </c>
      <c r="P63" s="53">
        <f>IF(AND(B63="SELL",D63&gt;0),R63/D63,0)</f>
        <v/>
      </c>
      <c r="Q63" s="54">
        <f>IF(AND(B63="SELL",D63&gt;0,E63&gt;0),(D63/E63)+G63,0)</f>
        <v/>
      </c>
      <c r="R63" s="55">
        <f>IF(B63="SELL",Q63*F63,0)</f>
        <v/>
      </c>
      <c r="S63" s="35">
        <f>S62+R63</f>
        <v/>
      </c>
    </row>
    <row r="64" ht="15.75" customHeight="1" s="94">
      <c r="A64" s="14" t="n">
        <v>63</v>
      </c>
      <c r="B64" s="15" t="inlineStr">
        <is>
          <t>BUY</t>
        </is>
      </c>
      <c r="C64" s="16" t="n">
        <v>45919</v>
      </c>
      <c r="D64" s="17" t="n">
        <v>592000</v>
      </c>
      <c r="E64" s="18" t="n">
        <v>963.5</v>
      </c>
      <c r="F64" s="18" t="n">
        <v>963.5</v>
      </c>
      <c r="G64" s="19" t="n">
        <v>614.42</v>
      </c>
      <c r="H64" s="19" t="n"/>
      <c r="I64" s="19" t="n">
        <v>637.886585700254</v>
      </c>
      <c r="J64" s="19" t="n"/>
      <c r="K64" s="20">
        <f>IF(AND(B64="SELL",E64&gt;0,J64&lt;&gt;""),J64/E64,0)</f>
        <v/>
      </c>
      <c r="L64" s="20" t="n"/>
      <c r="M64" s="18">
        <f>IF(AND(B64="SELL",L64&gt;0),D64*L64,0)</f>
        <v/>
      </c>
      <c r="N64" s="14" t="n"/>
      <c r="O64" s="21">
        <f>IF(AND(B64="SELL",G64&lt;&gt;0),Q64/ABS(G64),0)</f>
        <v/>
      </c>
      <c r="P64" s="21">
        <f>IF(AND(B64="SELL",D64&gt;0),R64/D64,0)</f>
        <v/>
      </c>
      <c r="Q64" s="22">
        <f>IF(AND(B64="SELL",D64&gt;0,E64&gt;0),(D64/E64)+G64,0)</f>
        <v/>
      </c>
      <c r="R64" s="23">
        <f>IF(B64="SELL",Q64*F64,0)</f>
        <v/>
      </c>
      <c r="S64" s="24">
        <f>S63+R64</f>
        <v/>
      </c>
    </row>
    <row r="65" ht="15.75" customHeight="1" s="94">
      <c r="A65" s="46" t="n">
        <v>64</v>
      </c>
      <c r="B65" s="47" t="inlineStr">
        <is>
          <t>SELL</t>
        </is>
      </c>
      <c r="C65" s="48" t="n">
        <v>45919</v>
      </c>
      <c r="D65" s="49" t="n">
        <v>70000</v>
      </c>
      <c r="E65" s="50" t="n">
        <v>963.5</v>
      </c>
      <c r="F65" s="50" t="n">
        <v>963.5</v>
      </c>
      <c r="G65" s="51" t="n">
        <v>-69.97</v>
      </c>
      <c r="H65" s="51" t="n"/>
      <c r="I65" s="30" t="n">
        <v>567.916585700254</v>
      </c>
      <c r="J65" s="51" t="n">
        <v>261.1</v>
      </c>
      <c r="K65" s="52">
        <f>IF(AND(B65="SELL",E65&gt;0,J65&lt;&gt;""),J65/E65,0)</f>
        <v/>
      </c>
      <c r="L65" s="52" t="n">
        <v>0.261</v>
      </c>
      <c r="M65" s="50">
        <f>IF(AND(B65="SELL",L65&gt;0),D65*L65,0)</f>
        <v/>
      </c>
      <c r="N65" s="46" t="n"/>
      <c r="O65" s="53">
        <f>IF(AND(B65="SELL",G65&lt;&gt;0),Q65/ABS(G65),0)</f>
        <v/>
      </c>
      <c r="P65" s="53">
        <f>IF(AND(B65="SELL",D65&gt;0),R65/D65,0)</f>
        <v/>
      </c>
      <c r="Q65" s="54">
        <f>IF(AND(B65="SELL",D65&gt;0,E65&gt;0),(D65/E65)+G65,0)</f>
        <v/>
      </c>
      <c r="R65" s="55">
        <f>IF(B65="SELL",Q65*F65,0)</f>
        <v/>
      </c>
      <c r="S65" s="35">
        <f>S64+R65</f>
        <v/>
      </c>
    </row>
    <row r="66" ht="15.75" customHeight="1" s="94">
      <c r="A66" s="36" t="n">
        <v>65</v>
      </c>
      <c r="B66" s="37" t="inlineStr">
        <is>
          <t>SELL</t>
        </is>
      </c>
      <c r="C66" s="38" t="n">
        <v>45919</v>
      </c>
      <c r="D66" s="39" t="n">
        <v>80000</v>
      </c>
      <c r="E66" s="40" t="n">
        <v>963.5</v>
      </c>
      <c r="F66" s="40" t="n">
        <v>963.5</v>
      </c>
      <c r="G66" s="41" t="n">
        <v>-78.76000000000001</v>
      </c>
      <c r="H66" s="41" t="n"/>
      <c r="I66" s="19" t="n">
        <v>489.156585700254</v>
      </c>
      <c r="J66" s="41" t="n">
        <v>165.081</v>
      </c>
      <c r="K66" s="42">
        <f>IF(AND(B66="SELL",E66&gt;0,J66&lt;&gt;""),J66/E66,0)</f>
        <v/>
      </c>
      <c r="L66" s="42" t="n">
        <v>0.261</v>
      </c>
      <c r="M66" s="40">
        <f>IF(AND(B66="SELL",L66&gt;0),D66*L66,0)</f>
        <v/>
      </c>
      <c r="N66" s="36" t="n"/>
      <c r="O66" s="43">
        <f>IF(AND(B66="SELL",G66&lt;&gt;0),Q66/ABS(G66),0)</f>
        <v/>
      </c>
      <c r="P66" s="43">
        <f>IF(AND(B66="SELL",D66&gt;0),R66/D66,0)</f>
        <v/>
      </c>
      <c r="Q66" s="44">
        <f>IF(AND(B66="SELL",D66&gt;0,E66&gt;0),(D66/E66)+G66,0)</f>
        <v/>
      </c>
      <c r="R66" s="45">
        <f>IF(B66="SELL",Q66*F66,0)</f>
        <v/>
      </c>
      <c r="S66" s="24">
        <f>S65+R66</f>
        <v/>
      </c>
    </row>
    <row r="67" ht="15.75" customHeight="1" s="94">
      <c r="A67" s="46" t="n">
        <v>66</v>
      </c>
      <c r="B67" s="47" t="inlineStr">
        <is>
          <t>SELL</t>
        </is>
      </c>
      <c r="C67" s="48" t="n">
        <v>45919</v>
      </c>
      <c r="D67" s="49" t="n">
        <v>20000</v>
      </c>
      <c r="E67" s="50" t="n">
        <v>963.5</v>
      </c>
      <c r="F67" s="50" t="n">
        <v>963.5</v>
      </c>
      <c r="G67" s="51" t="n">
        <v>-19.77</v>
      </c>
      <c r="H67" s="51" t="n"/>
      <c r="I67" s="30" t="n">
        <v>469.386585700254</v>
      </c>
      <c r="J67" s="51" t="n">
        <v>3791.99</v>
      </c>
      <c r="K67" s="52">
        <f>IF(AND(B67="SELL",E67&gt;0,J67&lt;&gt;""),J67/E67,0)</f>
        <v/>
      </c>
      <c r="L67" s="52" t="n">
        <v>3.75</v>
      </c>
      <c r="M67" s="50">
        <f>IF(AND(B67="SELL",L67&gt;0),D67*L67,0)</f>
        <v/>
      </c>
      <c r="N67" s="46" t="n"/>
      <c r="O67" s="53">
        <f>IF(AND(B67="SELL",G67&lt;&gt;0),Q67/ABS(G67),0)</f>
        <v/>
      </c>
      <c r="P67" s="53">
        <f>IF(AND(B67="SELL",D67&gt;0),R67/D67,0)</f>
        <v/>
      </c>
      <c r="Q67" s="54">
        <f>IF(AND(B67="SELL",D67&gt;0,E67&gt;0),(D67/E67)+G67,0)</f>
        <v/>
      </c>
      <c r="R67" s="55">
        <f>IF(B67="SELL",Q67*F67,0)</f>
        <v/>
      </c>
      <c r="S67" s="35">
        <f>S66+R67</f>
        <v/>
      </c>
    </row>
    <row r="68" ht="15.75" customHeight="1" s="94">
      <c r="A68" s="36" t="n">
        <v>67</v>
      </c>
      <c r="B68" s="37" t="inlineStr">
        <is>
          <t>SELL</t>
        </is>
      </c>
      <c r="C68" s="38" t="n">
        <v>45920</v>
      </c>
      <c r="D68" s="39" t="n">
        <v>25000</v>
      </c>
      <c r="E68" s="40" t="n">
        <v>963.5</v>
      </c>
      <c r="F68" s="40" t="n">
        <v>963.5</v>
      </c>
      <c r="G68" s="41" t="n">
        <v>-25.37</v>
      </c>
      <c r="H68" s="41" t="n"/>
      <c r="I68" s="19" t="n">
        <v>444.016585700254</v>
      </c>
      <c r="J68" s="41" t="n">
        <v>262.05</v>
      </c>
      <c r="K68" s="42">
        <f>IF(AND(B68="SELL",E68&gt;0,J68&lt;&gt;""),J68/E68,0)</f>
        <v/>
      </c>
      <c r="L68" s="42" t="n">
        <v>0.266</v>
      </c>
      <c r="M68" s="40">
        <f>IF(AND(B68="SELL",L68&gt;0),D68*L68,0)</f>
        <v/>
      </c>
      <c r="N68" s="36" t="n"/>
      <c r="O68" s="43">
        <f>IF(AND(B68="SELL",G68&lt;&gt;0),Q68/ABS(G68),0)</f>
        <v/>
      </c>
      <c r="P68" s="43">
        <f>IF(AND(B68="SELL",D68&gt;0),R68/D68,0)</f>
        <v/>
      </c>
      <c r="Q68" s="44">
        <f>IF(AND(B68="SELL",D68&gt;0,E68&gt;0),(D68/E68)+G68,0)</f>
        <v/>
      </c>
      <c r="R68" s="45">
        <f>IF(B68="SELL",Q68*F68,0)</f>
        <v/>
      </c>
      <c r="S68" s="24">
        <f>S67+R68</f>
        <v/>
      </c>
    </row>
    <row r="69" ht="15.75" customHeight="1" s="94">
      <c r="A69" s="46" t="n">
        <v>68</v>
      </c>
      <c r="B69" s="47" t="inlineStr">
        <is>
          <t>SELL</t>
        </is>
      </c>
      <c r="C69" s="48" t="n">
        <v>45920</v>
      </c>
      <c r="D69" s="49" t="n">
        <v>40000</v>
      </c>
      <c r="E69" s="50" t="n">
        <v>963.5</v>
      </c>
      <c r="F69" s="50" t="n">
        <v>963.5</v>
      </c>
      <c r="G69" s="51" t="n">
        <v>-40.45</v>
      </c>
      <c r="H69" s="51" t="n"/>
      <c r="I69" s="30" t="n">
        <v>403.566585700254</v>
      </c>
      <c r="J69" s="51" t="n">
        <v>263.025</v>
      </c>
      <c r="K69" s="52">
        <f>IF(AND(B69="SELL",E69&gt;0,J69&lt;&gt;""),J69/E69,0)</f>
        <v/>
      </c>
      <c r="L69" s="52" t="n">
        <v>0.266</v>
      </c>
      <c r="M69" s="50">
        <f>IF(AND(B69="SELL",L69&gt;0),D69*L69,0)</f>
        <v/>
      </c>
      <c r="N69" s="46" t="n"/>
      <c r="O69" s="53">
        <f>IF(AND(B69="SELL",G69&lt;&gt;0),Q69/ABS(G69),0)</f>
        <v/>
      </c>
      <c r="P69" s="53">
        <f>IF(AND(B69="SELL",D69&gt;0),R69/D69,0)</f>
        <v/>
      </c>
      <c r="Q69" s="54">
        <f>IF(AND(B69="SELL",D69&gt;0,E69&gt;0),(D69/E69)+G69,0)</f>
        <v/>
      </c>
      <c r="R69" s="55">
        <f>IF(B69="SELL",Q69*F69,0)</f>
        <v/>
      </c>
      <c r="S69" s="35">
        <f>S68+R69</f>
        <v/>
      </c>
    </row>
    <row r="70" ht="15.75" customHeight="1" s="94">
      <c r="A70" s="14" t="n">
        <v>69</v>
      </c>
      <c r="B70" s="15" t="inlineStr">
        <is>
          <t>BUY</t>
        </is>
      </c>
      <c r="C70" s="16" t="n">
        <v>45922</v>
      </c>
      <c r="D70" s="17" t="n">
        <v>765000</v>
      </c>
      <c r="E70" s="18" t="n">
        <v>959.6</v>
      </c>
      <c r="F70" s="18" t="n">
        <v>959.6</v>
      </c>
      <c r="G70" s="19" t="n">
        <v>797.2</v>
      </c>
      <c r="H70" s="19" t="n"/>
      <c r="I70" s="19" t="n">
        <v>1200.76658570025</v>
      </c>
      <c r="J70" s="19" t="n"/>
      <c r="K70" s="20">
        <f>IF(AND(B70="SELL",E70&gt;0,J70&lt;&gt;""),J70/E70,0)</f>
        <v/>
      </c>
      <c r="L70" s="20" t="n"/>
      <c r="M70" s="18">
        <f>IF(AND(B70="SELL",L70&gt;0),D70*L70,0)</f>
        <v/>
      </c>
      <c r="N70" s="14" t="n"/>
      <c r="O70" s="21">
        <f>IF(AND(B70="SELL",G70&lt;&gt;0),Q70/ABS(G70),0)</f>
        <v/>
      </c>
      <c r="P70" s="21">
        <f>IF(AND(B70="SELL",D70&gt;0),R70/D70,0)</f>
        <v/>
      </c>
      <c r="Q70" s="22">
        <f>IF(AND(B70="SELL",D70&gt;0,E70&gt;0),(D70/E70)+G70,0)</f>
        <v/>
      </c>
      <c r="R70" s="23">
        <f>IF(B70="SELL",Q70*F70,0)</f>
        <v/>
      </c>
      <c r="S70" s="24">
        <f>S69+R70</f>
        <v/>
      </c>
    </row>
    <row r="71" ht="15.75" customHeight="1" s="94">
      <c r="A71" s="46" t="n">
        <v>70</v>
      </c>
      <c r="B71" s="47" t="inlineStr">
        <is>
          <t>SELL</t>
        </is>
      </c>
      <c r="C71" s="48" t="n">
        <v>45922</v>
      </c>
      <c r="D71" s="49" t="n">
        <v>540000</v>
      </c>
      <c r="E71" s="50" t="n">
        <v>959.6</v>
      </c>
      <c r="F71" s="50" t="n">
        <v>959.6</v>
      </c>
      <c r="G71" s="51" t="n">
        <v>-525</v>
      </c>
      <c r="H71" s="51" t="n"/>
      <c r="I71" s="30" t="n">
        <v>675.766585700254</v>
      </c>
      <c r="J71" s="51" t="n">
        <v>1.003</v>
      </c>
      <c r="K71" s="52">
        <f>IF(AND(B71="SELL",E71&gt;0,J71&lt;&gt;""),J71/E71,0)</f>
        <v/>
      </c>
      <c r="L71" s="52" t="n">
        <v>0.0009990000000000001</v>
      </c>
      <c r="M71" s="50">
        <f>IF(AND(B71="SELL",L71&gt;0),D71*L71,0)</f>
        <v/>
      </c>
      <c r="N71" s="46" t="n"/>
      <c r="O71" s="53">
        <f>IF(AND(B71="SELL",G71&lt;&gt;0),Q71/ABS(G71),0)</f>
        <v/>
      </c>
      <c r="P71" s="53">
        <f>IF(AND(B71="SELL",D71&gt;0),R71/D71,0)</f>
        <v/>
      </c>
      <c r="Q71" s="54">
        <f>IF(AND(B71="SELL",D71&gt;0,E71&gt;0),(D71/E71)+G71,0)</f>
        <v/>
      </c>
      <c r="R71" s="55">
        <f>IF(B71="SELL",Q71*F71,0)</f>
        <v/>
      </c>
      <c r="S71" s="35">
        <f>S70+R71</f>
        <v/>
      </c>
    </row>
    <row r="72" ht="15.75" customHeight="1" s="94">
      <c r="A72" s="36" t="n">
        <v>71</v>
      </c>
      <c r="B72" s="37" t="inlineStr">
        <is>
          <t>SELL</t>
        </is>
      </c>
      <c r="C72" s="38" t="n">
        <v>45922</v>
      </c>
      <c r="D72" s="39" t="n">
        <v>60000</v>
      </c>
      <c r="E72" s="40" t="n">
        <v>959.6</v>
      </c>
      <c r="F72" s="40" t="n">
        <v>959.6</v>
      </c>
      <c r="G72" s="41" t="n">
        <v>-58.27</v>
      </c>
      <c r="H72" s="41" t="n"/>
      <c r="I72" s="19" t="n">
        <v>617.4965857002539</v>
      </c>
      <c r="J72" s="41" t="n">
        <v>265.65</v>
      </c>
      <c r="K72" s="42">
        <f>IF(AND(B72="SELL",E72&gt;0,J72&lt;&gt;""),J72/E72,0)</f>
        <v/>
      </c>
      <c r="L72" s="42" t="n">
        <v>0.258</v>
      </c>
      <c r="M72" s="40">
        <f>IF(AND(B72="SELL",L72&gt;0),D72*L72,0)</f>
        <v/>
      </c>
      <c r="N72" s="36" t="n"/>
      <c r="O72" s="43">
        <f>IF(AND(B72="SELL",G72&lt;&gt;0),Q72/ABS(G72),0)</f>
        <v/>
      </c>
      <c r="P72" s="43">
        <f>IF(AND(B72="SELL",D72&gt;0),R72/D72,0)</f>
        <v/>
      </c>
      <c r="Q72" s="44">
        <f>IF(AND(B72="SELL",D72&gt;0,E72&gt;0),(D72/E72)+G72,0)</f>
        <v/>
      </c>
      <c r="R72" s="45">
        <f>IF(B72="SELL",Q72*F72,0)</f>
        <v/>
      </c>
      <c r="S72" s="24">
        <f>S71+R72</f>
        <v/>
      </c>
    </row>
    <row r="73" ht="15.75" customHeight="1" s="94">
      <c r="A73" s="46" t="n">
        <v>72</v>
      </c>
      <c r="B73" s="47" t="inlineStr">
        <is>
          <t>SELL</t>
        </is>
      </c>
      <c r="C73" s="48" t="n">
        <v>45923</v>
      </c>
      <c r="D73" s="49" t="n">
        <v>15000</v>
      </c>
      <c r="E73" s="50" t="n">
        <v>959.6</v>
      </c>
      <c r="F73" s="50" t="n">
        <v>959.6</v>
      </c>
      <c r="G73" s="51" t="n">
        <v>-14.92</v>
      </c>
      <c r="H73" s="51" t="n"/>
      <c r="I73" s="30" t="n">
        <v>602.576585700254</v>
      </c>
      <c r="J73" s="51" t="n">
        <v>261.35</v>
      </c>
      <c r="K73" s="52">
        <f>IF(AND(B73="SELL",E73&gt;0,J73&lt;&gt;""),J73/E73,0)</f>
        <v/>
      </c>
      <c r="L73" s="52" t="n">
        <v>0.26</v>
      </c>
      <c r="M73" s="50">
        <f>IF(AND(B73="SELL",L73&gt;0),D73*L73,0)</f>
        <v/>
      </c>
      <c r="N73" s="46" t="n"/>
      <c r="O73" s="53">
        <f>IF(AND(B73="SELL",G73&lt;&gt;0),Q73/ABS(G73),0)</f>
        <v/>
      </c>
      <c r="P73" s="53">
        <f>IF(AND(B73="SELL",D73&gt;0),R73/D73,0)</f>
        <v/>
      </c>
      <c r="Q73" s="54">
        <f>IF(AND(B73="SELL",D73&gt;0,E73&gt;0),(D73/E73)+G73,0)</f>
        <v/>
      </c>
      <c r="R73" s="55">
        <f>IF(B73="SELL",Q73*F73,0)</f>
        <v/>
      </c>
      <c r="S73" s="35">
        <f>S72+R73</f>
        <v/>
      </c>
    </row>
    <row r="74" ht="15.75" customHeight="1" s="94">
      <c r="A74" s="36" t="n">
        <v>73</v>
      </c>
      <c r="B74" s="37" t="inlineStr">
        <is>
          <t>SELL</t>
        </is>
      </c>
      <c r="C74" s="38" t="n">
        <v>45923</v>
      </c>
      <c r="D74" s="39" t="n">
        <v>30000</v>
      </c>
      <c r="E74" s="40" t="n">
        <v>959.6</v>
      </c>
      <c r="F74" s="40" t="n">
        <v>959.6</v>
      </c>
      <c r="G74" s="41" t="n">
        <v>-29.69</v>
      </c>
      <c r="H74" s="41" t="n"/>
      <c r="I74" s="19" t="n">
        <v>572.886585700254</v>
      </c>
      <c r="J74" s="41" t="n">
        <v>266</v>
      </c>
      <c r="K74" s="42">
        <f>IF(AND(B74="SELL",E74&gt;0,J74&lt;&gt;""),J74/E74,0)</f>
        <v/>
      </c>
      <c r="L74" s="42" t="n">
        <v>0.26</v>
      </c>
      <c r="M74" s="40">
        <f>IF(AND(B74="SELL",L74&gt;0),D74*L74,0)</f>
        <v/>
      </c>
      <c r="N74" s="36" t="n"/>
      <c r="O74" s="43">
        <f>IF(AND(B74="SELL",G74&lt;&gt;0),Q74/ABS(G74),0)</f>
        <v/>
      </c>
      <c r="P74" s="43">
        <f>IF(AND(B74="SELL",D74&gt;0),R74/D74,0)</f>
        <v/>
      </c>
      <c r="Q74" s="44">
        <f>IF(AND(B74="SELL",D74&gt;0,E74&gt;0),(D74/E74)+G74,0)</f>
        <v/>
      </c>
      <c r="R74" s="45">
        <f>IF(B74="SELL",Q74*F74,0)</f>
        <v/>
      </c>
      <c r="S74" s="24">
        <f>S73+R74</f>
        <v/>
      </c>
    </row>
    <row r="75" ht="15.75" customHeight="1" s="94">
      <c r="A75" s="46" t="n">
        <v>74</v>
      </c>
      <c r="B75" s="47" t="inlineStr">
        <is>
          <t>SELL</t>
        </is>
      </c>
      <c r="C75" s="48" t="n">
        <v>45924</v>
      </c>
      <c r="D75" s="49" t="n">
        <v>28000</v>
      </c>
      <c r="E75" s="50" t="n">
        <v>959.6</v>
      </c>
      <c r="F75" s="50" t="n">
        <v>959.6</v>
      </c>
      <c r="G75" s="51" t="n">
        <v>-27.3</v>
      </c>
      <c r="H75" s="51" t="n"/>
      <c r="I75" s="30" t="n">
        <v>545.586585700254</v>
      </c>
      <c r="J75" s="51" t="n">
        <v>282</v>
      </c>
      <c r="K75" s="52">
        <f>IF(AND(B75="SELL",E75&gt;0,J75&lt;&gt;""),J75/E75,0)</f>
        <v/>
      </c>
      <c r="L75" s="52" t="n">
        <v>0.275</v>
      </c>
      <c r="M75" s="50">
        <f>IF(AND(B75="SELL",L75&gt;0),D75*L75,0)</f>
        <v/>
      </c>
      <c r="N75" s="46" t="n"/>
      <c r="O75" s="53">
        <f>IF(AND(B75="SELL",G75&lt;&gt;0),Q75/ABS(G75),0)</f>
        <v/>
      </c>
      <c r="P75" s="53">
        <f>IF(AND(B75="SELL",D75&gt;0),R75/D75,0)</f>
        <v/>
      </c>
      <c r="Q75" s="54">
        <f>IF(AND(B75="SELL",D75&gt;0,E75&gt;0),(D75/E75)+G75,0)</f>
        <v/>
      </c>
      <c r="R75" s="55">
        <f>IF(B75="SELL",Q75*F75,0)</f>
        <v/>
      </c>
      <c r="S75" s="35">
        <f>S74+R75</f>
        <v/>
      </c>
    </row>
    <row r="76" ht="15.75" customHeight="1" s="94">
      <c r="A76" s="36" t="n">
        <v>75</v>
      </c>
      <c r="B76" s="37" t="inlineStr">
        <is>
          <t>SELL</t>
        </is>
      </c>
      <c r="C76" s="38" t="n">
        <v>45924</v>
      </c>
      <c r="D76" s="39" t="n">
        <v>10000</v>
      </c>
      <c r="E76" s="40" t="n">
        <v>959.6</v>
      </c>
      <c r="F76" s="40" t="n">
        <v>959.6</v>
      </c>
      <c r="G76" s="41" t="n">
        <v>-9.84</v>
      </c>
      <c r="H76" s="41" t="n"/>
      <c r="I76" s="19" t="n">
        <v>535.7465857002539</v>
      </c>
      <c r="J76" s="41" t="n">
        <v>279.2</v>
      </c>
      <c r="K76" s="42">
        <f>IF(AND(B76="SELL",E76&gt;0,J76&lt;&gt;""),J76/E76,0)</f>
        <v/>
      </c>
      <c r="L76" s="42" t="n">
        <v>0.275</v>
      </c>
      <c r="M76" s="40">
        <f>IF(AND(B76="SELL",L76&gt;0),D76*L76,0)</f>
        <v/>
      </c>
      <c r="N76" s="36" t="n"/>
      <c r="O76" s="43">
        <f>IF(AND(B76="SELL",G76&lt;&gt;0),Q76/ABS(G76),0)</f>
        <v/>
      </c>
      <c r="P76" s="43">
        <f>IF(AND(B76="SELL",D76&gt;0),R76/D76,0)</f>
        <v/>
      </c>
      <c r="Q76" s="44">
        <f>IF(AND(B76="SELL",D76&gt;0,E76&gt;0),(D76/E76)+G76,0)</f>
        <v/>
      </c>
      <c r="R76" s="45">
        <f>IF(B76="SELL",Q76*F76,0)</f>
        <v/>
      </c>
      <c r="S76" s="24">
        <f>S75+R76</f>
        <v/>
      </c>
    </row>
    <row r="77" ht="15.75" customHeight="1" s="94">
      <c r="A77" s="46" t="n">
        <v>76</v>
      </c>
      <c r="B77" s="47" t="inlineStr">
        <is>
          <t>SELL</t>
        </is>
      </c>
      <c r="C77" s="48" t="n">
        <v>45924</v>
      </c>
      <c r="D77" s="49" t="n">
        <v>10000</v>
      </c>
      <c r="E77" s="50" t="n">
        <v>959.6</v>
      </c>
      <c r="F77" s="50" t="n">
        <v>959.6</v>
      </c>
      <c r="G77" s="51" t="n">
        <v>-9.800000000000001</v>
      </c>
      <c r="H77" s="51" t="n"/>
      <c r="I77" s="30" t="n">
        <v>525.946585700254</v>
      </c>
      <c r="J77" s="51" t="n">
        <v>280.35</v>
      </c>
      <c r="K77" s="52">
        <f>IF(AND(B77="SELL",E77&gt;0,J77&lt;&gt;""),J77/E77,0)</f>
        <v/>
      </c>
      <c r="L77" s="52" t="n">
        <v>0.275</v>
      </c>
      <c r="M77" s="50">
        <f>IF(AND(B77="SELL",L77&gt;0),D77*L77,0)</f>
        <v/>
      </c>
      <c r="N77" s="46" t="inlineStr">
        <is>
          <t>cambio jasniel</t>
        </is>
      </c>
      <c r="O77" s="53">
        <f>IF(AND(B77="SELL",G77&lt;&gt;0),Q77/ABS(G77),0)</f>
        <v/>
      </c>
      <c r="P77" s="53">
        <f>IF(AND(B77="SELL",D77&gt;0),R77/D77,0)</f>
        <v/>
      </c>
      <c r="Q77" s="54">
        <f>IF(AND(B77="SELL",D77&gt;0,E77&gt;0),(D77/E77)+G77,0)</f>
        <v/>
      </c>
      <c r="R77" s="55">
        <f>IF(B77="SELL",Q77*F77,0)</f>
        <v/>
      </c>
      <c r="S77" s="35">
        <f>S76+R77</f>
        <v/>
      </c>
    </row>
    <row r="78" ht="15.75" customHeight="1" s="94">
      <c r="A78" s="36" t="n">
        <v>77</v>
      </c>
      <c r="B78" s="37" t="inlineStr">
        <is>
          <t>SELL</t>
        </is>
      </c>
      <c r="C78" s="38" t="n">
        <v>45924</v>
      </c>
      <c r="D78" s="39" t="n">
        <v>4500</v>
      </c>
      <c r="E78" s="40" t="n">
        <v>959.6</v>
      </c>
      <c r="F78" s="40" t="n">
        <v>959.6</v>
      </c>
      <c r="G78" s="41" t="n">
        <v>-4.43</v>
      </c>
      <c r="H78" s="41" t="n"/>
      <c r="I78" s="19" t="n">
        <v>521.516585700254</v>
      </c>
      <c r="J78" s="41" t="n">
        <v>279.101</v>
      </c>
      <c r="K78" s="42">
        <f>IF(AND(B78="SELL",E78&gt;0,J78&lt;&gt;""),J78/E78,0)</f>
        <v/>
      </c>
      <c r="L78" s="42" t="n">
        <v>0.275</v>
      </c>
      <c r="M78" s="40">
        <f>IF(AND(B78="SELL",L78&gt;0),D78*L78,0)</f>
        <v/>
      </c>
      <c r="N78" s="36" t="inlineStr">
        <is>
          <t>cambio jasniel</t>
        </is>
      </c>
      <c r="O78" s="43">
        <f>IF(AND(B78="SELL",G78&lt;&gt;0),Q78/ABS(G78),0)</f>
        <v/>
      </c>
      <c r="P78" s="43">
        <f>IF(AND(B78="SELL",D78&gt;0),R78/D78,0)</f>
        <v/>
      </c>
      <c r="Q78" s="44">
        <f>IF(AND(B78="SELL",D78&gt;0,E78&gt;0),(D78/E78)+G78,0)</f>
        <v/>
      </c>
      <c r="R78" s="45">
        <f>IF(B78="SELL",Q78*F78,0)</f>
        <v/>
      </c>
      <c r="S78" s="24">
        <f>S77+R78</f>
        <v/>
      </c>
    </row>
    <row r="79" ht="15.75" customHeight="1" s="94">
      <c r="A79" s="46" t="n">
        <v>78</v>
      </c>
      <c r="B79" s="47" t="inlineStr">
        <is>
          <t>SELL</t>
        </is>
      </c>
      <c r="C79" s="48" t="n">
        <v>45924</v>
      </c>
      <c r="D79" s="49" t="n">
        <v>50000</v>
      </c>
      <c r="E79" s="50" t="n">
        <v>959.6</v>
      </c>
      <c r="F79" s="50" t="n">
        <v>959.6</v>
      </c>
      <c r="G79" s="51" t="n">
        <v>-47.74</v>
      </c>
      <c r="H79" s="51" t="n"/>
      <c r="I79" s="30" t="n">
        <v>473.776585700254</v>
      </c>
      <c r="J79" s="51" t="n">
        <v>288</v>
      </c>
      <c r="K79" s="52">
        <f>IF(AND(B79="SELL",E79&gt;0,J79&lt;&gt;""),J79/E79,0)</f>
        <v/>
      </c>
      <c r="L79" s="52" t="n">
        <v>0.275</v>
      </c>
      <c r="M79" s="50">
        <f>IF(AND(B79="SELL",L79&gt;0),D79*L79,0)</f>
        <v/>
      </c>
      <c r="N79" s="46" t="n"/>
      <c r="O79" s="53">
        <f>IF(AND(B79="SELL",G79&lt;&gt;0),Q79/ABS(G79),0)</f>
        <v/>
      </c>
      <c r="P79" s="53">
        <f>IF(AND(B79="SELL",D79&gt;0),R79/D79,0)</f>
        <v/>
      </c>
      <c r="Q79" s="54">
        <f>IF(AND(B79="SELL",D79&gt;0,E79&gt;0),(D79/E79)+G79,0)</f>
        <v/>
      </c>
      <c r="R79" s="55">
        <f>IF(B79="SELL",Q79*F79,0)</f>
        <v/>
      </c>
      <c r="S79" s="35">
        <f>S78+R79</f>
        <v/>
      </c>
    </row>
    <row r="80" ht="15.75" customHeight="1" s="94">
      <c r="A80" s="36" t="n">
        <v>79</v>
      </c>
      <c r="B80" s="37" t="inlineStr">
        <is>
          <t>SELL</t>
        </is>
      </c>
      <c r="C80" s="38" t="n">
        <v>45924</v>
      </c>
      <c r="D80" s="39" t="n">
        <v>50000</v>
      </c>
      <c r="E80" s="40" t="n">
        <v>959.6</v>
      </c>
      <c r="F80" s="40" t="n">
        <v>959.6</v>
      </c>
      <c r="G80" s="41" t="n">
        <v>-47.82</v>
      </c>
      <c r="H80" s="41" t="n"/>
      <c r="I80" s="19" t="n">
        <v>425.956585700254</v>
      </c>
      <c r="J80" s="41" t="n">
        <v>287.5</v>
      </c>
      <c r="K80" s="42">
        <f>IF(AND(B80="SELL",E80&gt;0,J80&lt;&gt;""),J80/E80,0)</f>
        <v/>
      </c>
      <c r="L80" s="42" t="n">
        <v>0.275</v>
      </c>
      <c r="M80" s="40">
        <f>IF(AND(B80="SELL",L80&gt;0),D80*L80,0)</f>
        <v/>
      </c>
      <c r="N80" s="36" t="n"/>
      <c r="O80" s="43">
        <f>IF(AND(B80="SELL",G80&lt;&gt;0),Q80/ABS(G80),0)</f>
        <v/>
      </c>
      <c r="P80" s="43">
        <f>IF(AND(B80="SELL",D80&gt;0),R80/D80,0)</f>
        <v/>
      </c>
      <c r="Q80" s="44">
        <f>IF(AND(B80="SELL",D80&gt;0,E80&gt;0),(D80/E80)+G80,0)</f>
        <v/>
      </c>
      <c r="R80" s="45">
        <f>IF(B80="SELL",Q80*F80,0)</f>
        <v/>
      </c>
      <c r="S80" s="24">
        <f>S79+R80</f>
        <v/>
      </c>
    </row>
    <row r="81" ht="15.75" customHeight="1" s="94">
      <c r="A81" s="46" t="n">
        <v>80</v>
      </c>
      <c r="B81" s="47" t="inlineStr">
        <is>
          <t>SELL</t>
        </is>
      </c>
      <c r="C81" s="48" t="n">
        <v>45925</v>
      </c>
      <c r="D81" s="49" t="n">
        <v>39000</v>
      </c>
      <c r="E81" s="50" t="n">
        <v>959.6</v>
      </c>
      <c r="F81" s="50" t="n">
        <v>959.6</v>
      </c>
      <c r="G81" s="51" t="n">
        <v>-38.07</v>
      </c>
      <c r="H81" s="51" t="n"/>
      <c r="I81" s="30" t="n">
        <v>387.886585700254</v>
      </c>
      <c r="J81" s="51" t="n">
        <v>3835.22</v>
      </c>
      <c r="K81" s="52">
        <f>IF(AND(B81="SELL",E81&gt;0,J81&lt;&gt;""),J81/E81,0)</f>
        <v/>
      </c>
      <c r="L81" s="52" t="n">
        <v>3.75</v>
      </c>
      <c r="M81" s="50">
        <f>IF(AND(B81="SELL",L81&gt;0),D81*L81,0)</f>
        <v/>
      </c>
      <c r="N81" s="46" t="inlineStr">
        <is>
          <t>cambio danger</t>
        </is>
      </c>
      <c r="O81" s="53">
        <f>IF(AND(B81="SELL",G81&lt;&gt;0),Q81/ABS(G81),0)</f>
        <v/>
      </c>
      <c r="P81" s="53">
        <f>IF(AND(B81="SELL",D81&gt;0),R81/D81,0)</f>
        <v/>
      </c>
      <c r="Q81" s="54">
        <f>IF(AND(B81="SELL",D81&gt;0,E81&gt;0),(D81/E81)+G81,0)</f>
        <v/>
      </c>
      <c r="R81" s="55">
        <f>IF(B81="SELL",Q81*F81,0)</f>
        <v/>
      </c>
      <c r="S81" s="35">
        <f>S80+R81</f>
        <v/>
      </c>
    </row>
    <row r="82" ht="15.75" customHeight="1" s="94">
      <c r="A82" s="36" t="n">
        <v>81</v>
      </c>
      <c r="B82" s="37" t="inlineStr">
        <is>
          <t>SELL</t>
        </is>
      </c>
      <c r="C82" s="38" t="n">
        <v>45926</v>
      </c>
      <c r="D82" s="39" t="n">
        <v>15000</v>
      </c>
      <c r="E82" s="40" t="n">
        <v>959.6</v>
      </c>
      <c r="F82" s="40" t="n">
        <v>959.6</v>
      </c>
      <c r="G82" s="41" t="n">
        <v>-14.97</v>
      </c>
      <c r="H82" s="41" t="n"/>
      <c r="I82" s="19" t="n">
        <v>372.916585700254</v>
      </c>
      <c r="J82" s="41" t="n">
        <v>288.511</v>
      </c>
      <c r="K82" s="42">
        <f>IF(AND(B82="SELL",E82&gt;0,J82&lt;&gt;""),J82/E82,0)</f>
        <v/>
      </c>
      <c r="L82" s="42" t="n">
        <v>0.288</v>
      </c>
      <c r="M82" s="40">
        <f>IF(AND(B82="SELL",L82&gt;0),D82*L82,0)</f>
        <v/>
      </c>
      <c r="N82" s="36" t="n"/>
      <c r="O82" s="43">
        <f>IF(AND(B82="SELL",G82&lt;&gt;0),Q82/ABS(G82),0)</f>
        <v/>
      </c>
      <c r="P82" s="43">
        <f>IF(AND(B82="SELL",D82&gt;0),R82/D82,0)</f>
        <v/>
      </c>
      <c r="Q82" s="44">
        <f>IF(AND(B82="SELL",D82&gt;0,E82&gt;0),(D82/E82)+G82,0)</f>
        <v/>
      </c>
      <c r="R82" s="45">
        <f>IF(B82="SELL",Q82*F82,0)</f>
        <v/>
      </c>
      <c r="S82" s="24">
        <f>S81+R82</f>
        <v/>
      </c>
    </row>
    <row r="83" ht="15.75" customHeight="1" s="94">
      <c r="A83" s="46" t="n">
        <v>82</v>
      </c>
      <c r="B83" s="47" t="inlineStr">
        <is>
          <t>SELL</t>
        </is>
      </c>
      <c r="C83" s="48" t="n">
        <v>45926</v>
      </c>
      <c r="D83" s="49" t="n">
        <v>100000</v>
      </c>
      <c r="E83" s="50" t="n">
        <v>959.6</v>
      </c>
      <c r="F83" s="50" t="n">
        <v>959.6</v>
      </c>
      <c r="G83" s="51" t="n">
        <v>-99.18000000000001</v>
      </c>
      <c r="H83" s="51" t="n"/>
      <c r="I83" s="30" t="n">
        <v>273.736585700254</v>
      </c>
      <c r="J83" s="51" t="n">
        <v>290.353</v>
      </c>
      <c r="K83" s="52">
        <f>IF(AND(B83="SELL",E83&gt;0,J83&lt;&gt;""),J83/E83,0)</f>
        <v/>
      </c>
      <c r="L83" s="52" t="n">
        <v>0.288</v>
      </c>
      <c r="M83" s="50">
        <f>IF(AND(B83="SELL",L83&gt;0),D83*L83,0)</f>
        <v/>
      </c>
      <c r="N83" s="46" t="inlineStr">
        <is>
          <t>cambio angel</t>
        </is>
      </c>
      <c r="O83" s="53">
        <f>IF(AND(B83="SELL",G83&lt;&gt;0),Q83/ABS(G83),0)</f>
        <v/>
      </c>
      <c r="P83" s="53">
        <f>IF(AND(B83="SELL",D83&gt;0),R83/D83,0)</f>
        <v/>
      </c>
      <c r="Q83" s="54">
        <f>IF(AND(B83="SELL",D83&gt;0,E83&gt;0),(D83/E83)+G83,0)</f>
        <v/>
      </c>
      <c r="R83" s="55">
        <f>IF(B83="SELL",Q83*F83,0)</f>
        <v/>
      </c>
      <c r="S83" s="35">
        <f>S82+R83</f>
        <v/>
      </c>
    </row>
    <row r="84" ht="15.75" customHeight="1" s="94">
      <c r="A84" s="36" t="n">
        <v>83</v>
      </c>
      <c r="B84" s="37" t="inlineStr">
        <is>
          <t>SELL</t>
        </is>
      </c>
      <c r="C84" s="38" t="n">
        <v>45926</v>
      </c>
      <c r="D84" s="39" t="n">
        <v>100000</v>
      </c>
      <c r="E84" s="40" t="n">
        <v>959.6</v>
      </c>
      <c r="F84" s="40" t="n">
        <v>959.6</v>
      </c>
      <c r="G84" s="41" t="n">
        <v>-100</v>
      </c>
      <c r="H84" s="41" t="n"/>
      <c r="I84" s="19" t="n">
        <v>173.736585700254</v>
      </c>
      <c r="J84" s="41" t="n">
        <v>288</v>
      </c>
      <c r="K84" s="42">
        <f>IF(AND(B84="SELL",E84&gt;0,J84&lt;&gt;""),J84/E84,0)</f>
        <v/>
      </c>
      <c r="L84" s="42" t="n">
        <v>0.288</v>
      </c>
      <c r="M84" s="40">
        <f>IF(AND(B84="SELL",L84&gt;0),D84*L84,0)</f>
        <v/>
      </c>
      <c r="N84" s="36" t="inlineStr">
        <is>
          <t>cambio angel</t>
        </is>
      </c>
      <c r="O84" s="43">
        <f>IF(AND(B84="SELL",G84&lt;&gt;0),Q84/ABS(G84),0)</f>
        <v/>
      </c>
      <c r="P84" s="43">
        <f>IF(AND(B84="SELL",D84&gt;0),R84/D84,0)</f>
        <v/>
      </c>
      <c r="Q84" s="44">
        <f>IF(AND(B84="SELL",D84&gt;0,E84&gt;0),(D84/E84)+G84,0)</f>
        <v/>
      </c>
      <c r="R84" s="45">
        <f>IF(B84="SELL",Q84*F84,0)</f>
        <v/>
      </c>
      <c r="S84" s="24">
        <f>S83+R84</f>
        <v/>
      </c>
    </row>
    <row r="85" ht="15.75" customHeight="1" s="94">
      <c r="A85" s="46" t="n">
        <v>84</v>
      </c>
      <c r="B85" s="47" t="inlineStr">
        <is>
          <t>SELL</t>
        </is>
      </c>
      <c r="C85" s="48" t="n">
        <v>45927</v>
      </c>
      <c r="D85" s="49" t="n">
        <v>50000</v>
      </c>
      <c r="E85" s="50" t="n">
        <v>959.6</v>
      </c>
      <c r="F85" s="50" t="n">
        <v>959.6</v>
      </c>
      <c r="G85" s="51" t="n">
        <v>-49.65</v>
      </c>
      <c r="H85" s="51" t="n"/>
      <c r="I85" s="30" t="n">
        <v>124.086585700254</v>
      </c>
      <c r="J85" s="51" t="n">
        <v>287</v>
      </c>
      <c r="K85" s="52">
        <f>IF(AND(B85="SELL",E85&gt;0,J85&lt;&gt;""),J85/E85,0)</f>
        <v/>
      </c>
      <c r="L85" s="52" t="n">
        <v>0.285</v>
      </c>
      <c r="M85" s="50">
        <f>IF(AND(B85="SELL",L85&gt;0),D85*L85,0)</f>
        <v/>
      </c>
      <c r="N85" s="46" t="inlineStr">
        <is>
          <t>delci</t>
        </is>
      </c>
      <c r="O85" s="53">
        <f>IF(AND(B85="SELL",G85&lt;&gt;0),Q85/ABS(G85),0)</f>
        <v/>
      </c>
      <c r="P85" s="53">
        <f>IF(AND(B85="SELL",D85&gt;0),R85/D85,0)</f>
        <v/>
      </c>
      <c r="Q85" s="54">
        <f>IF(AND(B85="SELL",D85&gt;0,E85&gt;0),(D85/E85)+G85,0)</f>
        <v/>
      </c>
      <c r="R85" s="55">
        <f>IF(B85="SELL",Q85*F85,0)</f>
        <v/>
      </c>
      <c r="S85" s="35">
        <f>S84+R85</f>
        <v/>
      </c>
    </row>
    <row r="86" ht="15.75" customHeight="1" s="94">
      <c r="A86" s="36" t="n">
        <v>85</v>
      </c>
      <c r="B86" s="37" t="inlineStr">
        <is>
          <t>SELL</t>
        </is>
      </c>
      <c r="C86" s="38" t="n">
        <v>45927</v>
      </c>
      <c r="D86" s="39" t="n">
        <v>20000</v>
      </c>
      <c r="E86" s="40" t="n">
        <v>959.6</v>
      </c>
      <c r="F86" s="40" t="n">
        <v>959.6</v>
      </c>
      <c r="G86" s="41" t="n">
        <v>-20.3</v>
      </c>
      <c r="H86" s="41" t="n"/>
      <c r="I86" s="19" t="n">
        <v>103.786585700254</v>
      </c>
      <c r="J86" s="41" t="n">
        <v>280.7</v>
      </c>
      <c r="K86" s="42">
        <f>IF(AND(B86="SELL",E86&gt;0,J86&lt;&gt;""),J86/E86,0)</f>
        <v/>
      </c>
      <c r="L86" s="42" t="n">
        <v>0.285</v>
      </c>
      <c r="M86" s="40">
        <f>IF(AND(B86="SELL",L86&gt;0),D86*L86,0)</f>
        <v/>
      </c>
      <c r="N86" s="36" t="inlineStr">
        <is>
          <t>cambio angel</t>
        </is>
      </c>
      <c r="O86" s="43">
        <f>IF(AND(B86="SELL",G86&lt;&gt;0),Q86/ABS(G86),0)</f>
        <v/>
      </c>
      <c r="P86" s="43">
        <f>IF(AND(B86="SELL",D86&gt;0),R86/D86,0)</f>
        <v/>
      </c>
      <c r="Q86" s="44">
        <f>IF(AND(B86="SELL",D86&gt;0,E86&gt;0),(D86/E86)+G86,0)</f>
        <v/>
      </c>
      <c r="R86" s="45">
        <f>IF(B86="SELL",Q86*F86,0)</f>
        <v/>
      </c>
      <c r="S86" s="24">
        <f>S85+R86</f>
        <v/>
      </c>
    </row>
    <row r="87" ht="15.75" customHeight="1" s="94">
      <c r="A87" s="46" t="n">
        <v>86</v>
      </c>
      <c r="B87" s="47" t="inlineStr">
        <is>
          <t>SELL</t>
        </is>
      </c>
      <c r="C87" s="48" t="n">
        <v>45927</v>
      </c>
      <c r="D87" s="49" t="n">
        <v>70000</v>
      </c>
      <c r="E87" s="50" t="n">
        <v>959.6</v>
      </c>
      <c r="F87" s="50" t="n">
        <v>959.6</v>
      </c>
      <c r="G87" s="51" t="n">
        <v>-69.45999999999999</v>
      </c>
      <c r="H87" s="51" t="n"/>
      <c r="I87" s="30" t="n">
        <v>34.326585700254</v>
      </c>
      <c r="J87" s="51" t="n">
        <v>282.153</v>
      </c>
      <c r="K87" s="52">
        <f>IF(AND(B87="SELL",E87&gt;0,J87&lt;&gt;""),J87/E87,0)</f>
        <v/>
      </c>
      <c r="L87" s="52" t="n">
        <v>0.28</v>
      </c>
      <c r="M87" s="50">
        <f>IF(AND(B87="SELL",L87&gt;0),D87*L87,0)</f>
        <v/>
      </c>
      <c r="N87" s="46" t="inlineStr">
        <is>
          <t>cambio pinky</t>
        </is>
      </c>
      <c r="O87" s="53">
        <f>IF(AND(B87="SELL",G87&lt;&gt;0),Q87/ABS(G87),0)</f>
        <v/>
      </c>
      <c r="P87" s="53">
        <f>IF(AND(B87="SELL",D87&gt;0),R87/D87,0)</f>
        <v/>
      </c>
      <c r="Q87" s="54">
        <f>IF(AND(B87="SELL",D87&gt;0,E87&gt;0),(D87/E87)+G87,0)</f>
        <v/>
      </c>
      <c r="R87" s="55">
        <f>IF(B87="SELL",Q87*F87,0)</f>
        <v/>
      </c>
      <c r="S87" s="35">
        <f>S86+R87</f>
        <v/>
      </c>
    </row>
    <row r="88" ht="15.75" customHeight="1" s="94">
      <c r="A88" s="14" t="n">
        <v>87</v>
      </c>
      <c r="B88" s="15" t="inlineStr">
        <is>
          <t>BUY</t>
        </is>
      </c>
      <c r="C88" s="16" t="n">
        <v>45927</v>
      </c>
      <c r="D88" s="17" t="n">
        <v>677500</v>
      </c>
      <c r="E88" s="18" t="n">
        <v>964.25</v>
      </c>
      <c r="F88" s="18" t="n">
        <v>964.25</v>
      </c>
      <c r="G88" s="19" t="n">
        <v>702.5599999999999</v>
      </c>
      <c r="H88" s="19" t="n"/>
      <c r="I88" s="19" t="n">
        <v>736.886585700254</v>
      </c>
      <c r="J88" s="19" t="n"/>
      <c r="K88" s="20">
        <f>IF(AND(B88="SELL",E88&gt;0,J88&lt;&gt;""),J88/E88,0)</f>
        <v/>
      </c>
      <c r="L88" s="20" t="n"/>
      <c r="M88" s="18">
        <f>IF(AND(B88="SELL",L88&gt;0),D88*L88,0)</f>
        <v/>
      </c>
      <c r="N88" s="14" t="n"/>
      <c r="O88" s="21">
        <f>IF(AND(B88="SELL",G88&lt;&gt;0),Q88/ABS(G88),0)</f>
        <v/>
      </c>
      <c r="P88" s="21">
        <f>IF(AND(B88="SELL",D88&gt;0),R88/D88,0)</f>
        <v/>
      </c>
      <c r="Q88" s="22">
        <f>IF(AND(B88="SELL",D88&gt;0,E88&gt;0),(D88/E88)+G88,0)</f>
        <v/>
      </c>
      <c r="R88" s="23">
        <f>IF(B88="SELL",Q88*F88,0)</f>
        <v/>
      </c>
      <c r="S88" s="24">
        <f>S87+R88</f>
        <v/>
      </c>
    </row>
    <row r="89" ht="15.75" customHeight="1" s="94">
      <c r="A89" s="46" t="n">
        <v>88</v>
      </c>
      <c r="B89" s="47" t="inlineStr">
        <is>
          <t>SELL</t>
        </is>
      </c>
      <c r="C89" s="48" t="n">
        <v>45927</v>
      </c>
      <c r="D89" s="49" t="n">
        <v>40000</v>
      </c>
      <c r="E89" s="50" t="n">
        <v>964.25</v>
      </c>
      <c r="F89" s="50" t="n">
        <v>964.25</v>
      </c>
      <c r="G89" s="51" t="n">
        <v>-39.68</v>
      </c>
      <c r="H89" s="51" t="n"/>
      <c r="I89" s="30" t="n">
        <v>697.206585700254</v>
      </c>
      <c r="J89" s="51" t="n">
        <v>282.215</v>
      </c>
      <c r="K89" s="52">
        <f>IF(AND(B89="SELL",E89&gt;0,J89&lt;&gt;""),J89/E89,0)</f>
        <v/>
      </c>
      <c r="L89" s="52" t="n">
        <v>0.28</v>
      </c>
      <c r="M89" s="50">
        <f>IF(AND(B89="SELL",L89&gt;0),D89*L89,0)</f>
        <v/>
      </c>
      <c r="N89" s="46" t="inlineStr">
        <is>
          <t>cambio</t>
        </is>
      </c>
      <c r="O89" s="53">
        <f>IF(AND(B89="SELL",G89&lt;&gt;0),Q89/ABS(G89),0)</f>
        <v/>
      </c>
      <c r="P89" s="53">
        <f>IF(AND(B89="SELL",D89&gt;0),R89/D89,0)</f>
        <v/>
      </c>
      <c r="Q89" s="54">
        <f>IF(AND(B89="SELL",D89&gt;0,E89&gt;0),(D89/E89)+G89,0)</f>
        <v/>
      </c>
      <c r="R89" s="55">
        <f>IF(B89="SELL",Q89*F89,0)</f>
        <v/>
      </c>
      <c r="S89" s="35">
        <f>S88+R89</f>
        <v/>
      </c>
    </row>
    <row r="90" ht="15.75" customHeight="1" s="94">
      <c r="A90" s="36" t="n">
        <v>89</v>
      </c>
      <c r="B90" s="37" t="inlineStr">
        <is>
          <t>SELL</t>
        </is>
      </c>
      <c r="C90" s="38" t="n">
        <v>45928</v>
      </c>
      <c r="D90" s="39" t="n">
        <v>10000</v>
      </c>
      <c r="E90" s="40" t="n">
        <v>964.25</v>
      </c>
      <c r="F90" s="40" t="n">
        <v>964.25</v>
      </c>
      <c r="G90" s="41" t="n">
        <v>-9.970000000000001</v>
      </c>
      <c r="H90" s="41" t="n"/>
      <c r="I90" s="19" t="n">
        <v>687.236585700254</v>
      </c>
      <c r="J90" s="41" t="n">
        <v>275.781</v>
      </c>
      <c r="K90" s="42">
        <f>IF(AND(B90="SELL",E90&gt;0,J90&lt;&gt;""),J90/E90,0)</f>
        <v/>
      </c>
      <c r="L90" s="42" t="n">
        <v>0.274</v>
      </c>
      <c r="M90" s="40">
        <f>IF(AND(B90="SELL",L90&gt;0),D90*L90,0)</f>
        <v/>
      </c>
      <c r="N90" s="36" t="inlineStr">
        <is>
          <t>cambio mama</t>
        </is>
      </c>
      <c r="O90" s="43">
        <f>IF(AND(B90="SELL",G90&lt;&gt;0),Q90/ABS(G90),0)</f>
        <v/>
      </c>
      <c r="P90" s="43">
        <f>IF(AND(B90="SELL",D90&gt;0),R90/D90,0)</f>
        <v/>
      </c>
      <c r="Q90" s="44">
        <f>IF(AND(B90="SELL",D90&gt;0,E90&gt;0),(D90/E90)+G90,0)</f>
        <v/>
      </c>
      <c r="R90" s="45">
        <f>IF(B90="SELL",Q90*F90,0)</f>
        <v/>
      </c>
      <c r="S90" s="24">
        <f>S89+R90</f>
        <v/>
      </c>
    </row>
    <row r="91" ht="15.75" customHeight="1" s="94">
      <c r="A91" s="46" t="n">
        <v>90</v>
      </c>
      <c r="B91" s="47" t="inlineStr">
        <is>
          <t>SELL</t>
        </is>
      </c>
      <c r="C91" s="48" t="n">
        <v>45928</v>
      </c>
      <c r="D91" s="49" t="n">
        <v>146671</v>
      </c>
      <c r="E91" s="50" t="n">
        <v>964.25</v>
      </c>
      <c r="F91" s="50" t="n">
        <v>964.25</v>
      </c>
      <c r="G91" s="51" t="n">
        <v>-141.35</v>
      </c>
      <c r="H91" s="51" t="n"/>
      <c r="I91" s="30" t="n">
        <v>545.886585700254</v>
      </c>
      <c r="J91" s="51" t="n">
        <v>284.31</v>
      </c>
      <c r="K91" s="52">
        <f>IF(AND(B91="SELL",E91&gt;0,J91&lt;&gt;""),J91/E91,0)</f>
        <v/>
      </c>
      <c r="L91" s="52" t="n">
        <v>0.274</v>
      </c>
      <c r="M91" s="50">
        <f>IF(AND(B91="SELL",L91&gt;0),D91*L91,0)</f>
        <v/>
      </c>
      <c r="N91" s="46" t="inlineStr">
        <is>
          <t>cambio turale</t>
        </is>
      </c>
      <c r="O91" s="53">
        <f>IF(AND(B91="SELL",G91&lt;&gt;0),Q91/ABS(G91),0)</f>
        <v/>
      </c>
      <c r="P91" s="53">
        <f>IF(AND(B91="SELL",D91&gt;0),R91/D91,0)</f>
        <v/>
      </c>
      <c r="Q91" s="54">
        <f>IF(AND(B91="SELL",D91&gt;0,E91&gt;0),(D91/E91)+G91,0)</f>
        <v/>
      </c>
      <c r="R91" s="55">
        <f>IF(B91="SELL",Q91*F91,0)</f>
        <v/>
      </c>
      <c r="S91" s="35">
        <f>S90+R91</f>
        <v/>
      </c>
    </row>
    <row r="92" ht="15.75" customHeight="1" s="94">
      <c r="A92" s="36" t="n">
        <v>91</v>
      </c>
      <c r="B92" s="37" t="inlineStr">
        <is>
          <t>SELL</t>
        </is>
      </c>
      <c r="C92" s="38" t="n">
        <v>45928</v>
      </c>
      <c r="D92" s="39" t="n">
        <v>30000</v>
      </c>
      <c r="E92" s="40" t="n">
        <v>964.25</v>
      </c>
      <c r="F92" s="40" t="n">
        <v>964.25</v>
      </c>
      <c r="G92" s="41" t="n">
        <v>-29.36</v>
      </c>
      <c r="H92" s="41" t="n"/>
      <c r="I92" s="19" t="n">
        <v>516.526585700254</v>
      </c>
      <c r="J92" s="41" t="n">
        <v>279.905</v>
      </c>
      <c r="K92" s="42">
        <f>IF(AND(B92="SELL",E92&gt;0,J92&lt;&gt;""),J92/E92,0)</f>
        <v/>
      </c>
      <c r="L92" s="42" t="n">
        <v>0.274</v>
      </c>
      <c r="M92" s="40">
        <f>IF(AND(B92="SELL",L92&gt;0),D92*L92,0)</f>
        <v/>
      </c>
      <c r="N92" s="36" t="n"/>
      <c r="O92" s="43">
        <f>IF(AND(B92="SELL",G92&lt;&gt;0),Q92/ABS(G92),0)</f>
        <v/>
      </c>
      <c r="P92" s="43">
        <f>IF(AND(B92="SELL",D92&gt;0),R92/D92,0)</f>
        <v/>
      </c>
      <c r="Q92" s="44">
        <f>IF(AND(B92="SELL",D92&gt;0,E92&gt;0),(D92/E92)+G92,0)</f>
        <v/>
      </c>
      <c r="R92" s="45">
        <f>IF(B92="SELL",Q92*F92,0)</f>
        <v/>
      </c>
      <c r="S92" s="24">
        <f>S91+R92</f>
        <v/>
      </c>
    </row>
    <row r="93" ht="15.75" customHeight="1" s="94">
      <c r="A93" s="46" t="n">
        <v>92</v>
      </c>
      <c r="B93" s="47" t="inlineStr">
        <is>
          <t>SELL</t>
        </is>
      </c>
      <c r="C93" s="48" t="n">
        <v>45928</v>
      </c>
      <c r="D93" s="49" t="n">
        <v>30000</v>
      </c>
      <c r="E93" s="50" t="n">
        <v>964.25</v>
      </c>
      <c r="F93" s="50" t="n">
        <v>964.25</v>
      </c>
      <c r="G93" s="51" t="n">
        <v>-30.41</v>
      </c>
      <c r="H93" s="51" t="n"/>
      <c r="I93" s="30" t="n">
        <v>486.116585700254</v>
      </c>
      <c r="J93" s="51" t="n">
        <v>270.3</v>
      </c>
      <c r="K93" s="52">
        <f>IF(AND(B93="SELL",E93&gt;0,J93&lt;&gt;""),J93/E93,0)</f>
        <v/>
      </c>
      <c r="L93" s="52" t="n">
        <v>0.274</v>
      </c>
      <c r="M93" s="50">
        <f>IF(AND(B93="SELL",L93&gt;0),D93*L93,0)</f>
        <v/>
      </c>
      <c r="N93" s="46" t="n"/>
      <c r="O93" s="53">
        <f>IF(AND(B93="SELL",G93&lt;&gt;0),Q93/ABS(G93),0)</f>
        <v/>
      </c>
      <c r="P93" s="53">
        <f>IF(AND(B93="SELL",D93&gt;0),R93/D93,0)</f>
        <v/>
      </c>
      <c r="Q93" s="54">
        <f>IF(AND(B93="SELL",D93&gt;0,E93&gt;0),(D93/E93)+G93,0)</f>
        <v/>
      </c>
      <c r="R93" s="55">
        <f>IF(B93="SELL",Q93*F93,0)</f>
        <v/>
      </c>
      <c r="S93" s="35">
        <f>S92+R93</f>
        <v/>
      </c>
    </row>
    <row r="94" ht="15.75" customHeight="1" s="94">
      <c r="A94" s="36" t="n">
        <v>93</v>
      </c>
      <c r="B94" s="37" t="inlineStr">
        <is>
          <t>SELL</t>
        </is>
      </c>
      <c r="C94" s="38" t="n">
        <v>45929</v>
      </c>
      <c r="D94" s="39" t="n">
        <v>45000</v>
      </c>
      <c r="E94" s="40" t="n">
        <v>964.25</v>
      </c>
      <c r="F94" s="40" t="n">
        <v>964.25</v>
      </c>
      <c r="G94" s="41" t="n">
        <v>-44.05</v>
      </c>
      <c r="H94" s="41" t="n"/>
      <c r="I94" s="19" t="n">
        <v>442.066585700254</v>
      </c>
      <c r="J94" s="41" t="n">
        <v>284</v>
      </c>
      <c r="K94" s="42">
        <f>IF(AND(B94="SELL",E94&gt;0,J94&lt;&gt;""),J94/E94,0)</f>
        <v/>
      </c>
      <c r="L94" s="42" t="n">
        <v>0.275</v>
      </c>
      <c r="M94" s="40">
        <f>IF(AND(B94="SELL",L94&gt;0),D94*L94,0)</f>
        <v/>
      </c>
      <c r="N94" s="36" t="n"/>
      <c r="O94" s="43">
        <f>IF(AND(B94="SELL",G94&lt;&gt;0),Q94/ABS(G94),0)</f>
        <v/>
      </c>
      <c r="P94" s="43">
        <f>IF(AND(B94="SELL",D94&gt;0),R94/D94,0)</f>
        <v/>
      </c>
      <c r="Q94" s="44">
        <f>IF(AND(B94="SELL",D94&gt;0,E94&gt;0),(D94/E94)+G94,0)</f>
        <v/>
      </c>
      <c r="R94" s="45">
        <f>IF(B94="SELL",Q94*F94,0)</f>
        <v/>
      </c>
      <c r="S94" s="24">
        <f>S93+R94</f>
        <v/>
      </c>
    </row>
    <row r="95" ht="15.75" customHeight="1" s="94">
      <c r="A95" s="46" t="n">
        <v>94</v>
      </c>
      <c r="B95" s="47" t="inlineStr">
        <is>
          <t>SELL</t>
        </is>
      </c>
      <c r="C95" s="48" t="n">
        <v>45929</v>
      </c>
      <c r="D95" s="49" t="n">
        <v>15000</v>
      </c>
      <c r="E95" s="50" t="n">
        <v>964.25</v>
      </c>
      <c r="F95" s="50" t="n">
        <v>964.25</v>
      </c>
      <c r="G95" s="51" t="n">
        <v>-14.6</v>
      </c>
      <c r="H95" s="51" t="n"/>
      <c r="I95" s="30" t="n">
        <v>427.466585700254</v>
      </c>
      <c r="J95" s="51" t="n">
        <v>282.414</v>
      </c>
      <c r="K95" s="52">
        <f>IF(AND(B95="SELL",E95&gt;0,J95&lt;&gt;""),J95/E95,0)</f>
        <v/>
      </c>
      <c r="L95" s="52" t="n">
        <v>0.275</v>
      </c>
      <c r="M95" s="50">
        <f>IF(AND(B95="SELL",L95&gt;0),D95*L95,0)</f>
        <v/>
      </c>
      <c r="N95" s="46" t="n"/>
      <c r="O95" s="53">
        <f>IF(AND(B95="SELL",G95&lt;&gt;0),Q95/ABS(G95),0)</f>
        <v/>
      </c>
      <c r="P95" s="53">
        <f>IF(AND(B95="SELL",D95&gt;0),R95/D95,0)</f>
        <v/>
      </c>
      <c r="Q95" s="54">
        <f>IF(AND(B95="SELL",D95&gt;0,E95&gt;0),(D95/E95)+G95,0)</f>
        <v/>
      </c>
      <c r="R95" s="55">
        <f>IF(B95="SELL",Q95*F95,0)</f>
        <v/>
      </c>
      <c r="S95" s="35">
        <f>S94+R95</f>
        <v/>
      </c>
    </row>
    <row r="96" ht="15.75" customHeight="1" s="94">
      <c r="A96" s="36" t="n">
        <v>95</v>
      </c>
      <c r="B96" s="37" t="inlineStr">
        <is>
          <t>SELL</t>
        </is>
      </c>
      <c r="C96" s="38" t="n">
        <v>45929</v>
      </c>
      <c r="D96" s="39" t="n">
        <v>10000</v>
      </c>
      <c r="E96" s="40" t="n">
        <v>964.25</v>
      </c>
      <c r="F96" s="40" t="n">
        <v>964.25</v>
      </c>
      <c r="G96" s="41" t="n">
        <v>-9.890000000000001</v>
      </c>
      <c r="H96" s="41" t="n"/>
      <c r="I96" s="19" t="n">
        <v>417.576585700254</v>
      </c>
      <c r="J96" s="41" t="n">
        <v>278.05</v>
      </c>
      <c r="K96" s="42">
        <f>IF(AND(B96="SELL",E96&gt;0,J96&lt;&gt;""),J96/E96,0)</f>
        <v/>
      </c>
      <c r="L96" s="42" t="n">
        <v>0.275</v>
      </c>
      <c r="M96" s="40">
        <f>IF(AND(B96="SELL",L96&gt;0),D96*L96,0)</f>
        <v/>
      </c>
      <c r="N96" s="36" t="n"/>
      <c r="O96" s="43">
        <f>IF(AND(B96="SELL",G96&lt;&gt;0),Q96/ABS(G96),0)</f>
        <v/>
      </c>
      <c r="P96" s="43">
        <f>IF(AND(B96="SELL",D96&gt;0),R96/D96,0)</f>
        <v/>
      </c>
      <c r="Q96" s="44">
        <f>IF(AND(B96="SELL",D96&gt;0,E96&gt;0),(D96/E96)+G96,0)</f>
        <v/>
      </c>
      <c r="R96" s="45">
        <f>IF(B96="SELL",Q96*F96,0)</f>
        <v/>
      </c>
      <c r="S96" s="24">
        <f>S95+R96</f>
        <v/>
      </c>
    </row>
    <row r="97" ht="15.75" customHeight="1" s="94">
      <c r="A97" s="25" t="n">
        <v>96</v>
      </c>
      <c r="B97" s="26" t="inlineStr">
        <is>
          <t>BUY</t>
        </is>
      </c>
      <c r="C97" s="27" t="n">
        <v>45929</v>
      </c>
      <c r="D97" s="28" t="n">
        <v>877000</v>
      </c>
      <c r="E97" s="29" t="n">
        <v>967</v>
      </c>
      <c r="F97" s="29" t="n">
        <v>967</v>
      </c>
      <c r="G97" s="30" t="n">
        <v>907.65</v>
      </c>
      <c r="H97" s="30" t="n"/>
      <c r="I97" s="30" t="n">
        <v>1318.83658570025</v>
      </c>
      <c r="J97" s="30" t="n"/>
      <c r="K97" s="31">
        <f>IF(AND(B97="SELL",E97&gt;0,J97&lt;&gt;""),J97/E97,0)</f>
        <v/>
      </c>
      <c r="L97" s="31" t="n"/>
      <c r="M97" s="29">
        <f>IF(AND(B97="SELL",L97&gt;0),D97*L97,0)</f>
        <v/>
      </c>
      <c r="N97" s="25" t="inlineStr">
        <is>
          <t>cambio capital</t>
        </is>
      </c>
      <c r="O97" s="32">
        <f>IF(AND(B97="SELL",G97&lt;&gt;0),Q97/ABS(G97),0)</f>
        <v/>
      </c>
      <c r="P97" s="32">
        <f>IF(AND(B97="SELL",D97&gt;0),R97/D97,0)</f>
        <v/>
      </c>
      <c r="Q97" s="33">
        <f>IF(AND(B97="SELL",D97&gt;0,E97&gt;0),(D97/E97)+G97,0)</f>
        <v/>
      </c>
      <c r="R97" s="34">
        <f>IF(B97="SELL",Q97*F97,0)</f>
        <v/>
      </c>
      <c r="S97" s="35">
        <f>S96+R97</f>
        <v/>
      </c>
    </row>
    <row r="98" ht="15.75" customHeight="1" s="94">
      <c r="A98" s="36" t="n">
        <v>97</v>
      </c>
      <c r="B98" s="37" t="inlineStr">
        <is>
          <t>SELL</t>
        </is>
      </c>
      <c r="C98" s="38" t="n">
        <v>45929</v>
      </c>
      <c r="D98" s="39" t="n">
        <v>550000</v>
      </c>
      <c r="E98" s="40" t="n">
        <v>967</v>
      </c>
      <c r="F98" s="40" t="n">
        <v>967</v>
      </c>
      <c r="G98" s="41" t="n">
        <v>-541.42</v>
      </c>
      <c r="H98" s="41" t="n"/>
      <c r="I98" s="19" t="n">
        <v>777.416585700254</v>
      </c>
      <c r="J98" s="41" t="n">
        <v>1.014</v>
      </c>
      <c r="K98" s="42">
        <f>IF(AND(B98="SELL",E98&gt;0,J98&lt;&gt;""),J98/E98,0)</f>
        <v/>
      </c>
      <c r="L98" s="42" t="n">
        <v>0.0009990000000000001</v>
      </c>
      <c r="M98" s="40">
        <f>IF(AND(B98="SELL",L98&gt;0),D98*L98,0)</f>
        <v/>
      </c>
      <c r="N98" s="36" t="n"/>
      <c r="O98" s="43">
        <f>IF(AND(B98="SELL",G98&lt;&gt;0),Q98/ABS(G98),0)</f>
        <v/>
      </c>
      <c r="P98" s="43">
        <f>IF(AND(B98="SELL",D98&gt;0),R98/D98,0)</f>
        <v/>
      </c>
      <c r="Q98" s="44">
        <f>IF(AND(B98="SELL",D98&gt;0,E98&gt;0),(D98/E98)+G98,0)</f>
        <v/>
      </c>
      <c r="R98" s="45">
        <f>IF(B98="SELL",Q98*F98,0)</f>
        <v/>
      </c>
      <c r="S98" s="24">
        <f>S97+R98</f>
        <v/>
      </c>
    </row>
    <row r="99" ht="15.75" customHeight="1" s="94">
      <c r="A99" s="46" t="n">
        <v>98</v>
      </c>
      <c r="B99" s="47" t="inlineStr">
        <is>
          <t>SELL</t>
        </is>
      </c>
      <c r="C99" s="48" t="n">
        <v>45929</v>
      </c>
      <c r="D99" s="49" t="n">
        <v>55000</v>
      </c>
      <c r="E99" s="50" t="n">
        <v>967</v>
      </c>
      <c r="F99" s="50" t="n">
        <v>967</v>
      </c>
      <c r="G99" s="51" t="n">
        <v>-52.72</v>
      </c>
      <c r="H99" s="51" t="n"/>
      <c r="I99" s="30" t="n">
        <v>724.696585700254</v>
      </c>
      <c r="J99" s="51" t="n">
        <v>285.851</v>
      </c>
      <c r="K99" s="52">
        <f>IF(AND(B99="SELL",E99&gt;0,J99&lt;&gt;""),J99/E99,0)</f>
        <v/>
      </c>
      <c r="L99" s="52" t="n">
        <v>0.275</v>
      </c>
      <c r="M99" s="50">
        <f>IF(AND(B99="SELL",L99&gt;0),D99*L99,0)</f>
        <v/>
      </c>
      <c r="N99" s="46" t="inlineStr">
        <is>
          <t>cambio uvida</t>
        </is>
      </c>
      <c r="O99" s="53">
        <f>IF(AND(B99="SELL",G99&lt;&gt;0),Q99/ABS(G99),0)</f>
        <v/>
      </c>
      <c r="P99" s="53">
        <f>IF(AND(B99="SELL",D99&gt;0),R99/D99,0)</f>
        <v/>
      </c>
      <c r="Q99" s="54">
        <f>IF(AND(B99="SELL",D99&gt;0,E99&gt;0),(D99/E99)+G99,0)</f>
        <v/>
      </c>
      <c r="R99" s="55">
        <f>IF(B99="SELL",Q99*F99,0)</f>
        <v/>
      </c>
      <c r="S99" s="35">
        <f>S98+R99</f>
        <v/>
      </c>
    </row>
    <row r="100" ht="15.75" customHeight="1" s="94">
      <c r="A100" s="36" t="n">
        <v>99</v>
      </c>
      <c r="B100" s="37" t="inlineStr">
        <is>
          <t>SELL</t>
        </is>
      </c>
      <c r="C100" s="38" t="n">
        <v>45930</v>
      </c>
      <c r="D100" s="39" t="n">
        <v>20000</v>
      </c>
      <c r="E100" s="40" t="n">
        <v>967</v>
      </c>
      <c r="F100" s="40" t="n">
        <v>967</v>
      </c>
      <c r="G100" s="41" t="n">
        <v>-20.28</v>
      </c>
      <c r="H100" s="41" t="n"/>
      <c r="I100" s="19" t="n">
        <v>704.416585700254</v>
      </c>
      <c r="J100" s="41" t="n">
        <v>276</v>
      </c>
      <c r="K100" s="42">
        <f>IF(AND(B100="SELL",E100&gt;0,J100&lt;&gt;""),J100/E100,0)</f>
        <v/>
      </c>
      <c r="L100" s="42" t="n">
        <v>0.28</v>
      </c>
      <c r="M100" s="40">
        <f>IF(AND(B100="SELL",L100&gt;0),D100*L100,0)</f>
        <v/>
      </c>
      <c r="N100" s="36" t="inlineStr">
        <is>
          <t>cambiopaula uvida</t>
        </is>
      </c>
      <c r="O100" s="43">
        <f>IF(AND(B100="SELL",G100&lt;&gt;0),Q100/ABS(G100),0)</f>
        <v/>
      </c>
      <c r="P100" s="43">
        <f>IF(AND(B100="SELL",D100&gt;0),R100/D100,0)</f>
        <v/>
      </c>
      <c r="Q100" s="44">
        <f>IF(AND(B100="SELL",D100&gt;0,E100&gt;0),(D100/E100)+G100,0)</f>
        <v/>
      </c>
      <c r="R100" s="45">
        <f>IF(B100="SELL",Q100*F100,0)</f>
        <v/>
      </c>
      <c r="S100" s="24">
        <f>S99+R100</f>
        <v/>
      </c>
    </row>
    <row r="101" ht="15.75" customHeight="1" s="94">
      <c r="A101" s="46" t="n">
        <v>100</v>
      </c>
      <c r="B101" s="47" t="inlineStr">
        <is>
          <t>SELL</t>
        </is>
      </c>
      <c r="C101" s="48" t="n">
        <v>45930</v>
      </c>
      <c r="D101" s="49" t="n">
        <v>250000</v>
      </c>
      <c r="E101" s="50" t="n">
        <v>967</v>
      </c>
      <c r="F101" s="50" t="n">
        <v>967</v>
      </c>
      <c r="G101" s="51" t="n">
        <v>-248.71</v>
      </c>
      <c r="H101" s="51" t="n"/>
      <c r="I101" s="30" t="n">
        <v>455.706585700254</v>
      </c>
      <c r="J101" s="51" t="n">
        <v>283.46</v>
      </c>
      <c r="K101" s="52">
        <f>IF(AND(B101="SELL",E101&gt;0,J101&lt;&gt;""),J101/E101,0)</f>
        <v/>
      </c>
      <c r="L101" s="52" t="n">
        <v>0.282</v>
      </c>
      <c r="M101" s="50">
        <f>IF(AND(B101="SELL",L101&gt;0),D101*L101,0)</f>
        <v/>
      </c>
      <c r="N101" s="46" t="inlineStr">
        <is>
          <t>cambio jhenyfer</t>
        </is>
      </c>
      <c r="O101" s="53">
        <f>IF(AND(B101="SELL",G101&lt;&gt;0),Q101/ABS(G101),0)</f>
        <v/>
      </c>
      <c r="P101" s="53">
        <f>IF(AND(B101="SELL",D101&gt;0),R101/D101,0)</f>
        <v/>
      </c>
      <c r="Q101" s="54">
        <f>IF(AND(B101="SELL",D101&gt;0,E101&gt;0),(D101/E101)+G101,0)</f>
        <v/>
      </c>
      <c r="R101" s="55">
        <f>IF(B101="SELL",Q101*F101,0)</f>
        <v/>
      </c>
      <c r="S101" s="35">
        <f>S100+R101</f>
        <v/>
      </c>
    </row>
    <row r="102" ht="15.75" customHeight="1" s="94">
      <c r="A102" s="36" t="n">
        <v>101</v>
      </c>
      <c r="B102" s="37" t="inlineStr">
        <is>
          <t>SELL</t>
        </is>
      </c>
      <c r="C102" s="38" t="n">
        <v>45930</v>
      </c>
      <c r="D102" s="39" t="n">
        <v>100000</v>
      </c>
      <c r="E102" s="40" t="n">
        <v>967</v>
      </c>
      <c r="F102" s="40" t="n">
        <v>967</v>
      </c>
      <c r="G102" s="41" t="n">
        <v>-97.52</v>
      </c>
      <c r="H102" s="41" t="n"/>
      <c r="I102" s="19" t="n">
        <v>394.976585700254</v>
      </c>
      <c r="J102" s="41" t="n">
        <v>287.12</v>
      </c>
      <c r="K102" s="42">
        <f>IF(AND(B102="SELL",E102&gt;0,J102&lt;&gt;""),J102/E102,0)</f>
        <v/>
      </c>
      <c r="L102" s="42" t="n">
        <v>0.28</v>
      </c>
      <c r="M102" s="40">
        <f>IF(AND(B102="SELL",L102&gt;0),D102*L102,0)</f>
        <v/>
      </c>
      <c r="N102" s="36" t="inlineStr">
        <is>
          <t>cambio ramses</t>
        </is>
      </c>
      <c r="O102" s="43">
        <f>IF(AND(B102="SELL",G102&lt;&gt;0),Q102/ABS(G102),0)</f>
        <v/>
      </c>
      <c r="P102" s="43">
        <f>IF(AND(B102="SELL",D102&gt;0),R102/D102,0)</f>
        <v/>
      </c>
      <c r="Q102" s="44">
        <f>IF(AND(B102="SELL",D102&gt;0,E102&gt;0),(D102/E102)+G102,0)</f>
        <v/>
      </c>
      <c r="R102" s="45">
        <f>IF(B102="SELL",Q102*F102,0)</f>
        <v/>
      </c>
      <c r="S102" s="24">
        <f>S101+R102</f>
        <v/>
      </c>
    </row>
    <row r="103" ht="15.75" customHeight="1" s="94">
      <c r="A103" s="46" t="n">
        <v>102</v>
      </c>
      <c r="B103" s="47" t="inlineStr">
        <is>
          <t>SELL</t>
        </is>
      </c>
      <c r="C103" s="48" t="n">
        <v>45930</v>
      </c>
      <c r="D103" s="49" t="n">
        <v>20000</v>
      </c>
      <c r="E103" s="50" t="n">
        <v>967</v>
      </c>
      <c r="F103" s="50" t="n">
        <v>967</v>
      </c>
      <c r="G103" s="51" t="n">
        <v>-19.95</v>
      </c>
      <c r="H103" s="51" t="n"/>
      <c r="I103" s="30" t="n">
        <v>375.026585700254</v>
      </c>
      <c r="J103" s="51" t="n">
        <v>280.6</v>
      </c>
      <c r="K103" s="52">
        <f>IF(AND(B103="SELL",E103&gt;0,J103&lt;&gt;""),J103/E103,0)</f>
        <v/>
      </c>
      <c r="L103" s="52" t="n">
        <v>0.28</v>
      </c>
      <c r="M103" s="50">
        <f>IF(AND(B103="SELL",L103&gt;0),D103*L103,0)</f>
        <v/>
      </c>
      <c r="N103" s="46" t="n"/>
      <c r="O103" s="53">
        <f>IF(AND(B103="SELL",G103&lt;&gt;0),Q103/ABS(G103),0)</f>
        <v/>
      </c>
      <c r="P103" s="53">
        <f>IF(AND(B103="SELL",D103&gt;0),R103/D103,0)</f>
        <v/>
      </c>
      <c r="Q103" s="54">
        <f>IF(AND(B103="SELL",D103&gt;0,E103&gt;0),(D103/E103)+G103,0)</f>
        <v/>
      </c>
      <c r="R103" s="55">
        <f>IF(B103="SELL",Q103*F103,0)</f>
        <v/>
      </c>
      <c r="S103" s="35">
        <f>S102+R103</f>
        <v/>
      </c>
    </row>
    <row r="104" ht="15.75" customHeight="1" s="94">
      <c r="A104" s="36" t="n">
        <v>103</v>
      </c>
      <c r="B104" s="37" t="inlineStr">
        <is>
          <t>SELL</t>
        </is>
      </c>
      <c r="C104" s="38" t="n">
        <v>45927</v>
      </c>
      <c r="D104" s="39" t="n">
        <v>95150</v>
      </c>
      <c r="E104" s="40" t="n">
        <v>967</v>
      </c>
      <c r="F104" s="40" t="n">
        <v>967</v>
      </c>
      <c r="G104" s="41" t="n">
        <v>-93.41</v>
      </c>
      <c r="H104" s="41" t="n"/>
      <c r="I104" s="19" t="n">
        <v>281.616585700254</v>
      </c>
      <c r="J104" s="41" t="n">
        <v>285.2</v>
      </c>
      <c r="K104" s="42">
        <f>IF(AND(B104="SELL",E104&gt;0,J104&lt;&gt;""),J104/E104,0)</f>
        <v/>
      </c>
      <c r="L104" s="42" t="n">
        <v>0.28</v>
      </c>
      <c r="M104" s="40">
        <f>IF(AND(B104="SELL",L104&gt;0),D104*L104,0)</f>
        <v/>
      </c>
      <c r="N104" s="36" t="n"/>
      <c r="O104" s="43">
        <f>IF(AND(B104="SELL",G104&lt;&gt;0),Q104/ABS(G104),0)</f>
        <v/>
      </c>
      <c r="P104" s="43">
        <f>IF(AND(B104="SELL",D104&gt;0),R104/D104,0)</f>
        <v/>
      </c>
      <c r="Q104" s="44">
        <f>IF(AND(B104="SELL",D104&gt;0,E104&gt;0),(D104/E104)+G104,0)</f>
        <v/>
      </c>
      <c r="R104" s="45">
        <f>IF(B104="SELL",Q104*F104,0)</f>
        <v/>
      </c>
      <c r="S104" s="24">
        <f>S103+R104</f>
        <v/>
      </c>
    </row>
    <row r="106" ht="21.75" customHeight="1" s="94">
      <c r="A106" s="95" t="inlineStr">
        <is>
          <t>TOTALES — Septiembre 2025</t>
        </is>
      </c>
      <c r="D106" s="56">
        <f>SUMIF(B2:B104,"SELL",D2:D104)</f>
        <v/>
      </c>
      <c r="G106" s="57">
        <f>COUNTIF(B2:B104,"SELL")</f>
        <v/>
      </c>
      <c r="I106" s="58">
        <f>I104</f>
        <v/>
      </c>
      <c r="Q106" s="58">
        <f>SUM(Q2:Q104)</f>
        <v/>
      </c>
      <c r="R106" s="59">
        <f>SUMIF(B2:B104,"SELL",R2:R104)</f>
        <v/>
      </c>
      <c r="S106" s="59">
        <f>S104</f>
        <v/>
      </c>
    </row>
  </sheetData>
  <mergeCells count="1">
    <mergeCell ref="A106:C10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2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25"/>
  <cols>
    <col width="5" customWidth="1" style="94" min="1" max="1"/>
    <col width="8" customWidth="1" style="94" min="2" max="2"/>
    <col width="11" customWidth="1" style="94" min="3" max="3"/>
    <col width="13" customWidth="1" style="94" min="4" max="6"/>
    <col width="10" customWidth="1" style="94" min="7" max="8"/>
    <col width="13" customWidth="1" style="94" min="9" max="10"/>
    <col width="11" customWidth="1" style="94" min="11" max="12"/>
    <col width="13" customWidth="1" style="94" min="13" max="13"/>
    <col width="20" customWidth="1" style="94" min="14" max="14"/>
    <col width="10" customWidth="1" style="94" min="15" max="16"/>
    <col width="13" customWidth="1" style="94" min="17" max="18"/>
    <col width="15" customWidth="1" style="94" min="19" max="19"/>
  </cols>
  <sheetData>
    <row r="1" ht="21.75" customHeight="1" s="94">
      <c r="A1" s="2" t="inlineStr">
        <is>
          <t>N°</t>
        </is>
      </c>
      <c r="B1" s="2" t="inlineStr">
        <is>
          <t>Tipo</t>
        </is>
      </c>
      <c r="C1" s="2" t="inlineStr">
        <is>
          <t>Fecha</t>
        </is>
      </c>
      <c r="D1" s="2" t="inlineStr">
        <is>
          <t>Monto CLP</t>
        </is>
      </c>
      <c r="E1" s="2" t="inlineStr">
        <is>
          <t>USDT/CLP Compra</t>
        </is>
      </c>
      <c r="F1" s="2" t="inlineStr">
        <is>
          <t>USDT/CLP Venta</t>
        </is>
      </c>
      <c r="G1" s="2" t="inlineStr">
        <is>
          <t>USDT Mov</t>
        </is>
      </c>
      <c r="H1" s="2" t="inlineStr">
        <is>
          <t>Tax Binance</t>
        </is>
      </c>
      <c r="I1" s="2" t="inlineStr">
        <is>
          <t>Capital USDT</t>
        </is>
      </c>
      <c r="J1" s="2" t="inlineStr">
        <is>
          <t>Tasa Destino</t>
        </is>
      </c>
      <c r="K1" s="2" t="inlineStr">
        <is>
          <t>Tasa Real</t>
        </is>
      </c>
      <c r="L1" s="2" t="inlineStr">
        <is>
          <t>Tasa IREMI</t>
        </is>
      </c>
      <c r="M1" s="2" t="inlineStr">
        <is>
          <t>Valor Destino</t>
        </is>
      </c>
      <c r="N1" s="2" t="inlineStr">
        <is>
          <t>Comentario</t>
        </is>
      </c>
      <c r="O1" s="2" t="inlineStr">
        <is>
          <t>% G USDT</t>
        </is>
      </c>
      <c r="P1" s="2" t="inlineStr">
        <is>
          <t>% G CLP</t>
        </is>
      </c>
      <c r="Q1" s="2" t="inlineStr">
        <is>
          <t>Ganancia USDT</t>
        </is>
      </c>
      <c r="R1" s="2" t="inlineStr">
        <is>
          <t>Ganancia CLP</t>
        </is>
      </c>
      <c r="S1" s="2" t="inlineStr">
        <is>
          <t>Acumulado SELL</t>
        </is>
      </c>
    </row>
    <row r="2" ht="15.75" customHeight="1" s="94">
      <c r="A2" s="36" t="n">
        <v>1</v>
      </c>
      <c r="B2" s="37" t="inlineStr">
        <is>
          <t>SELL</t>
        </is>
      </c>
      <c r="C2" s="38" t="n">
        <v>45930</v>
      </c>
      <c r="D2" s="39" t="n">
        <v>20000</v>
      </c>
      <c r="E2" s="40" t="n">
        <v>967</v>
      </c>
      <c r="F2" s="40" t="n">
        <v>967</v>
      </c>
      <c r="G2" s="41" t="n">
        <v>-19.95</v>
      </c>
      <c r="H2" s="41" t="n"/>
      <c r="I2" s="19" t="n">
        <v>375.03</v>
      </c>
      <c r="J2" s="41" t="n">
        <v>280.6</v>
      </c>
      <c r="K2" s="42">
        <f>IF(AND(B2="SELL",E2&gt;0,J2&lt;&gt;""),J2/E2,0)</f>
        <v/>
      </c>
      <c r="L2" s="42" t="n">
        <v>0.28</v>
      </c>
      <c r="M2" s="40">
        <f>IF(AND(B2="SELL",L2&gt;0),D2*L2,0)</f>
        <v/>
      </c>
      <c r="N2" s="36" t="n"/>
      <c r="O2" s="43">
        <f>IF(AND(B2="SELL",G2&lt;&gt;0),Q2/ABS(G2),0)</f>
        <v/>
      </c>
      <c r="P2" s="43">
        <f>IF(AND(B2="SELL",D2&gt;0),R2/D2,0)</f>
        <v/>
      </c>
      <c r="Q2" s="44">
        <f>IF(AND(B2="SELL",D2&gt;0,E2&gt;0),(D2/E2)+G2,0)</f>
        <v/>
      </c>
      <c r="R2" s="45">
        <f>IF(B2="SELL",Q2*F2,0)</f>
        <v/>
      </c>
      <c r="S2" s="24">
        <f>'Septiembre 2025'!S104+R2</f>
        <v/>
      </c>
    </row>
    <row r="3" ht="15.75" customHeight="1" s="94">
      <c r="A3" s="46" t="n">
        <v>2</v>
      </c>
      <c r="B3" s="47" t="inlineStr">
        <is>
          <t>SELL</t>
        </is>
      </c>
      <c r="C3" s="48" t="n">
        <v>45931</v>
      </c>
      <c r="D3" s="49" t="n">
        <v>165000</v>
      </c>
      <c r="E3" s="50" t="n">
        <v>967</v>
      </c>
      <c r="F3" s="50" t="n">
        <v>967</v>
      </c>
      <c r="G3" s="51" t="n">
        <v>-162.92</v>
      </c>
      <c r="H3" s="51" t="n"/>
      <c r="I3" s="30" t="n">
        <v>212.11</v>
      </c>
      <c r="J3" s="51" t="n">
        <v>285.2</v>
      </c>
      <c r="K3" s="52">
        <f>IF(AND(B3="SELL",E3&gt;0,J3&lt;&gt;""),J3/E3,0)</f>
        <v/>
      </c>
      <c r="L3" s="52" t="n">
        <v>0.278</v>
      </c>
      <c r="M3" s="50">
        <f>IF(AND(B3="SELL",L3&gt;0),D3*L3,0)</f>
        <v/>
      </c>
      <c r="N3" s="46" t="inlineStr">
        <is>
          <t>Cambio uvida y francisco</t>
        </is>
      </c>
      <c r="O3" s="53">
        <f>IF(AND(B3="SELL",G3&lt;&gt;0),Q3/ABS(G3),0)</f>
        <v/>
      </c>
      <c r="P3" s="53">
        <f>IF(AND(B3="SELL",D3&gt;0),R3/D3,0)</f>
        <v/>
      </c>
      <c r="Q3" s="54">
        <f>IF(AND(B3="SELL",D3&gt;0,E3&gt;0),(D3/E3)+G3,0)</f>
        <v/>
      </c>
      <c r="R3" s="55">
        <f>IF(B3="SELL",Q3*F3,0)</f>
        <v/>
      </c>
      <c r="S3" s="35">
        <f>S2+R3</f>
        <v/>
      </c>
    </row>
    <row r="4" ht="15.75" customHeight="1" s="94">
      <c r="A4" s="36" t="n">
        <v>3</v>
      </c>
      <c r="B4" s="37" t="inlineStr">
        <is>
          <t>SELL</t>
        </is>
      </c>
      <c r="C4" s="38" t="n">
        <v>45931</v>
      </c>
      <c r="D4" s="39" t="n">
        <v>110000</v>
      </c>
      <c r="E4" s="40" t="n">
        <v>967</v>
      </c>
      <c r="F4" s="40" t="n">
        <v>967</v>
      </c>
      <c r="G4" s="41" t="n">
        <v>-106.87</v>
      </c>
      <c r="H4" s="41" t="n"/>
      <c r="I4" s="19" t="n">
        <v>105.24</v>
      </c>
      <c r="J4" s="41" t="n">
        <v>289.21</v>
      </c>
      <c r="K4" s="42">
        <f>IF(AND(B4="SELL",E4&gt;0,J4&lt;&gt;""),J4/E4,0)</f>
        <v/>
      </c>
      <c r="L4" s="42" t="n">
        <v>0.281</v>
      </c>
      <c r="M4" s="40">
        <f>IF(AND(B4="SELL",L4&gt;0),D4*L4,0)</f>
        <v/>
      </c>
      <c r="N4" s="36" t="inlineStr">
        <is>
          <t>cambio angel</t>
        </is>
      </c>
      <c r="O4" s="43">
        <f>IF(AND(B4="SELL",G4&lt;&gt;0),Q4/ABS(G4),0)</f>
        <v/>
      </c>
      <c r="P4" s="43">
        <f>IF(AND(B4="SELL",D4&gt;0),R4/D4,0)</f>
        <v/>
      </c>
      <c r="Q4" s="44">
        <f>IF(AND(B4="SELL",D4&gt;0,E4&gt;0),(D4/E4)+G4,0)</f>
        <v/>
      </c>
      <c r="R4" s="45">
        <f>IF(B4="SELL",Q4*F4,0)</f>
        <v/>
      </c>
      <c r="S4" s="24">
        <f>S3+R4</f>
        <v/>
      </c>
    </row>
    <row r="5" ht="15.75" customHeight="1" s="94">
      <c r="A5" s="46" t="n">
        <v>4</v>
      </c>
      <c r="B5" s="47" t="inlineStr">
        <is>
          <t>SELL</t>
        </is>
      </c>
      <c r="C5" s="48" t="n">
        <v>45931</v>
      </c>
      <c r="D5" s="49" t="n">
        <v>100000</v>
      </c>
      <c r="E5" s="50" t="n">
        <v>967</v>
      </c>
      <c r="F5" s="50" t="n">
        <v>967</v>
      </c>
      <c r="G5" s="51" t="n">
        <v>-97.48</v>
      </c>
      <c r="H5" s="51" t="n"/>
      <c r="I5" s="30" t="n">
        <v>7.75999999999998</v>
      </c>
      <c r="J5" s="51" t="n">
        <v>288.25</v>
      </c>
      <c r="K5" s="52">
        <f>IF(AND(B5="SELL",E5&gt;0,J5&lt;&gt;""),J5/E5,0)</f>
        <v/>
      </c>
      <c r="L5" s="52" t="n">
        <v>0.281</v>
      </c>
      <c r="M5" s="50">
        <f>IF(AND(B5="SELL",L5&gt;0),D5*L5,0)</f>
        <v/>
      </c>
      <c r="N5" s="46" t="n"/>
      <c r="O5" s="53">
        <f>IF(AND(B5="SELL",G5&lt;&gt;0),Q5/ABS(G5),0)</f>
        <v/>
      </c>
      <c r="P5" s="53">
        <f>IF(AND(B5="SELL",D5&gt;0),R5/D5,0)</f>
        <v/>
      </c>
      <c r="Q5" s="54">
        <f>IF(AND(B5="SELL",D5&gt;0,E5&gt;0),(D5/E5)+G5,0)</f>
        <v/>
      </c>
      <c r="R5" s="55">
        <f>IF(B5="SELL",Q5*F5,0)</f>
        <v/>
      </c>
      <c r="S5" s="35">
        <f>S4+R5</f>
        <v/>
      </c>
    </row>
    <row r="6" ht="15.75" customHeight="1" s="94">
      <c r="A6" s="14" t="n">
        <v>5</v>
      </c>
      <c r="B6" s="15" t="inlineStr">
        <is>
          <t>BUY</t>
        </is>
      </c>
      <c r="C6" s="16" t="n">
        <v>45931</v>
      </c>
      <c r="D6" s="17" t="n">
        <v>1020000</v>
      </c>
      <c r="E6" s="18" t="n">
        <v>964.8</v>
      </c>
      <c r="F6" s="18" t="n">
        <v>964.8</v>
      </c>
      <c r="G6" s="19" t="n">
        <v>1057.21</v>
      </c>
      <c r="H6" s="19" t="n"/>
      <c r="I6" s="19" t="n">
        <v>1064.97</v>
      </c>
      <c r="J6" s="19" t="n"/>
      <c r="K6" s="20">
        <f>IF(AND(B6="SELL",E6&gt;0,J6&lt;&gt;""),J6/E6,0)</f>
        <v/>
      </c>
      <c r="L6" s="20" t="n"/>
      <c r="M6" s="18">
        <f>IF(AND(B6="SELL",L6&gt;0),D6*L6,0)</f>
        <v/>
      </c>
      <c r="N6" s="14" t="n"/>
      <c r="O6" s="21">
        <f>IF(AND(B6="SELL",G6&lt;&gt;0),Q6/ABS(G6),0)</f>
        <v/>
      </c>
      <c r="P6" s="21">
        <f>IF(AND(B6="SELL",D6&gt;0),R6/D6,0)</f>
        <v/>
      </c>
      <c r="Q6" s="22">
        <f>IF(AND(B6="SELL",D6&gt;0,E6&gt;0),(D6/E6)+G6,0)</f>
        <v/>
      </c>
      <c r="R6" s="23">
        <f>IF(B6="SELL",Q6*F6,0)</f>
        <v/>
      </c>
      <c r="S6" s="24">
        <f>S5+R6</f>
        <v/>
      </c>
    </row>
    <row r="7" ht="15.75" customHeight="1" s="94">
      <c r="A7" s="46" t="n">
        <v>6</v>
      </c>
      <c r="B7" s="47" t="inlineStr">
        <is>
          <t>SELL</t>
        </is>
      </c>
      <c r="C7" s="48" t="n">
        <v>45931</v>
      </c>
      <c r="D7" s="49" t="n">
        <v>105000</v>
      </c>
      <c r="E7" s="50" t="n">
        <v>964.8</v>
      </c>
      <c r="F7" s="50" t="n">
        <v>964.8</v>
      </c>
      <c r="G7" s="51" t="n">
        <v>-102.21</v>
      </c>
      <c r="H7" s="51" t="n"/>
      <c r="I7" s="30" t="n">
        <v>962.76</v>
      </c>
      <c r="J7" s="51" t="n">
        <v>288.65</v>
      </c>
      <c r="K7" s="52">
        <f>IF(AND(B7="SELL",E7&gt;0,J7&lt;&gt;""),J7/E7,0)</f>
        <v/>
      </c>
      <c r="L7" s="52" t="n">
        <v>0.281</v>
      </c>
      <c r="M7" s="50">
        <f>IF(AND(B7="SELL",L7&gt;0),D7*L7,0)</f>
        <v/>
      </c>
      <c r="N7" s="46" t="n"/>
      <c r="O7" s="53">
        <f>IF(AND(B7="SELL",G7&lt;&gt;0),Q7/ABS(G7),0)</f>
        <v/>
      </c>
      <c r="P7" s="53">
        <f>IF(AND(B7="SELL",D7&gt;0),R7/D7,0)</f>
        <v/>
      </c>
      <c r="Q7" s="54">
        <f>IF(AND(B7="SELL",D7&gt;0,E7&gt;0),(D7/E7)+G7,0)</f>
        <v/>
      </c>
      <c r="R7" s="55">
        <f>IF(B7="SELL",Q7*F7,0)</f>
        <v/>
      </c>
      <c r="S7" s="35">
        <f>S6+R7</f>
        <v/>
      </c>
    </row>
    <row r="8" ht="15.75" customHeight="1" s="94">
      <c r="A8" s="36" t="n">
        <v>7</v>
      </c>
      <c r="B8" s="37" t="inlineStr">
        <is>
          <t>SELL</t>
        </is>
      </c>
      <c r="C8" s="38" t="n">
        <v>45931</v>
      </c>
      <c r="D8" s="39" t="n">
        <v>18000</v>
      </c>
      <c r="E8" s="40" t="n">
        <v>964.8</v>
      </c>
      <c r="F8" s="40" t="n">
        <v>964.8</v>
      </c>
      <c r="G8" s="41" t="n">
        <v>-17.8</v>
      </c>
      <c r="H8" s="41" t="n"/>
      <c r="I8" s="19" t="n">
        <v>944.96</v>
      </c>
      <c r="J8" s="41" t="n">
        <v>284.005</v>
      </c>
      <c r="K8" s="42">
        <f>IF(AND(B8="SELL",E8&gt;0,J8&lt;&gt;""),J8/E8,0)</f>
        <v/>
      </c>
      <c r="L8" s="42" t="n">
        <v>0.281</v>
      </c>
      <c r="M8" s="40">
        <f>IF(AND(B8="SELL",L8&gt;0),D8*L8,0)</f>
        <v/>
      </c>
      <c r="N8" s="36" t="n"/>
      <c r="O8" s="43">
        <f>IF(AND(B8="SELL",G8&lt;&gt;0),Q8/ABS(G8),0)</f>
        <v/>
      </c>
      <c r="P8" s="43">
        <f>IF(AND(B8="SELL",D8&gt;0),R8/D8,0)</f>
        <v/>
      </c>
      <c r="Q8" s="44">
        <f>IF(AND(B8="SELL",D8&gt;0,E8&gt;0),(D8/E8)+G8,0)</f>
        <v/>
      </c>
      <c r="R8" s="45">
        <f>IF(B8="SELL",Q8*F8,0)</f>
        <v/>
      </c>
      <c r="S8" s="24">
        <f>S7+R8</f>
        <v/>
      </c>
    </row>
    <row r="9" ht="15.75" customHeight="1" s="94">
      <c r="A9" s="46" t="n">
        <v>8</v>
      </c>
      <c r="B9" s="47" t="inlineStr">
        <is>
          <t>SELL</t>
        </is>
      </c>
      <c r="C9" s="48" t="n">
        <v>45932</v>
      </c>
      <c r="D9" s="49" t="n">
        <v>130000</v>
      </c>
      <c r="E9" s="50" t="n">
        <v>964.8</v>
      </c>
      <c r="F9" s="50" t="n">
        <v>964.8</v>
      </c>
      <c r="G9" s="51" t="n">
        <v>-127.09</v>
      </c>
      <c r="H9" s="51" t="n"/>
      <c r="I9" s="30" t="n">
        <v>817.87</v>
      </c>
      <c r="J9" s="51" t="n">
        <v>291.51</v>
      </c>
      <c r="K9" s="52">
        <f>IF(AND(B9="SELL",E9&gt;0,J9&lt;&gt;""),J9/E9,0)</f>
        <v/>
      </c>
      <c r="L9" s="52" t="n">
        <v>0.285</v>
      </c>
      <c r="M9" s="50">
        <f>IF(AND(B9="SELL",L9&gt;0),D9*L9,0)</f>
        <v/>
      </c>
      <c r="N9" s="46" t="n"/>
      <c r="O9" s="53">
        <f>IF(AND(B9="SELL",G9&lt;&gt;0),Q9/ABS(G9),0)</f>
        <v/>
      </c>
      <c r="P9" s="53">
        <f>IF(AND(B9="SELL",D9&gt;0),R9/D9,0)</f>
        <v/>
      </c>
      <c r="Q9" s="54">
        <f>IF(AND(B9="SELL",D9&gt;0,E9&gt;0),(D9/E9)+G9,0)</f>
        <v/>
      </c>
      <c r="R9" s="55">
        <f>IF(B9="SELL",Q9*F9,0)</f>
        <v/>
      </c>
      <c r="S9" s="35">
        <f>S8+R9</f>
        <v/>
      </c>
    </row>
    <row r="10" ht="15.75" customHeight="1" s="94">
      <c r="A10" s="36" t="n">
        <v>9</v>
      </c>
      <c r="B10" s="37" t="inlineStr">
        <is>
          <t>SELL</t>
        </is>
      </c>
      <c r="C10" s="38" t="n">
        <v>45932</v>
      </c>
      <c r="D10" s="39" t="n">
        <v>50000</v>
      </c>
      <c r="E10" s="40" t="n">
        <v>964.8</v>
      </c>
      <c r="F10" s="40" t="n">
        <v>964.8</v>
      </c>
      <c r="G10" s="41" t="n">
        <v>-49.82</v>
      </c>
      <c r="H10" s="41" t="n"/>
      <c r="I10" s="19" t="n">
        <v>768.05</v>
      </c>
      <c r="J10" s="41" t="n">
        <v>286</v>
      </c>
      <c r="K10" s="42">
        <f>IF(AND(B10="SELL",E10&gt;0,J10&lt;&gt;""),J10/E10,0)</f>
        <v/>
      </c>
      <c r="L10" s="42" t="n">
        <v>0.285</v>
      </c>
      <c r="M10" s="40">
        <f>IF(AND(B10="SELL",L10&gt;0),D10*L10,0)</f>
        <v/>
      </c>
      <c r="N10" s="36" t="n"/>
      <c r="O10" s="43">
        <f>IF(AND(B10="SELL",G10&lt;&gt;0),Q10/ABS(G10),0)</f>
        <v/>
      </c>
      <c r="P10" s="43">
        <f>IF(AND(B10="SELL",D10&gt;0),R10/D10,0)</f>
        <v/>
      </c>
      <c r="Q10" s="44">
        <f>IF(AND(B10="SELL",D10&gt;0,E10&gt;0),(D10/E10)+G10,0)</f>
        <v/>
      </c>
      <c r="R10" s="45">
        <f>IF(B10="SELL",Q10*F10,0)</f>
        <v/>
      </c>
      <c r="S10" s="24">
        <f>S9+R10</f>
        <v/>
      </c>
    </row>
    <row r="11" ht="15.75" customHeight="1" s="94">
      <c r="A11" s="46" t="n">
        <v>10</v>
      </c>
      <c r="B11" s="47" t="inlineStr">
        <is>
          <t>SELL</t>
        </is>
      </c>
      <c r="C11" s="48" t="n">
        <v>45932</v>
      </c>
      <c r="D11" s="49" t="n">
        <v>40000</v>
      </c>
      <c r="E11" s="50" t="n">
        <v>964.8</v>
      </c>
      <c r="F11" s="50" t="n">
        <v>964.8</v>
      </c>
      <c r="G11" s="51" t="n">
        <v>-39.37</v>
      </c>
      <c r="H11" s="51" t="n"/>
      <c r="I11" s="30" t="n">
        <v>728.6799999999999</v>
      </c>
      <c r="J11" s="51" t="n">
        <v>289.519</v>
      </c>
      <c r="K11" s="52">
        <f>IF(AND(B11="SELL",E11&gt;0,J11&lt;&gt;""),J11/E11,0)</f>
        <v/>
      </c>
      <c r="L11" s="52" t="n">
        <v>0.285</v>
      </c>
      <c r="M11" s="50">
        <f>IF(AND(B11="SELL",L11&gt;0),D11*L11,0)</f>
        <v/>
      </c>
      <c r="N11" s="46" t="n"/>
      <c r="O11" s="53">
        <f>IF(AND(B11="SELL",G11&lt;&gt;0),Q11/ABS(G11),0)</f>
        <v/>
      </c>
      <c r="P11" s="53">
        <f>IF(AND(B11="SELL",D11&gt;0),R11/D11,0)</f>
        <v/>
      </c>
      <c r="Q11" s="54">
        <f>IF(AND(B11="SELL",D11&gt;0,E11&gt;0),(D11/E11)+G11,0)</f>
        <v/>
      </c>
      <c r="R11" s="55">
        <f>IF(B11="SELL",Q11*F11,0)</f>
        <v/>
      </c>
      <c r="S11" s="35">
        <f>S10+R11</f>
        <v/>
      </c>
    </row>
    <row r="12" ht="15.75" customHeight="1" s="94">
      <c r="A12" s="36" t="n">
        <v>11</v>
      </c>
      <c r="B12" s="37" t="inlineStr">
        <is>
          <t>SELL</t>
        </is>
      </c>
      <c r="C12" s="38" t="n">
        <v>45932</v>
      </c>
      <c r="D12" s="39" t="n">
        <v>20000</v>
      </c>
      <c r="E12" s="40" t="n">
        <v>964.8</v>
      </c>
      <c r="F12" s="40" t="n">
        <v>964.8</v>
      </c>
      <c r="G12" s="41" t="n">
        <v>-19.9</v>
      </c>
      <c r="H12" s="41" t="n"/>
      <c r="I12" s="19" t="n">
        <v>708.78</v>
      </c>
      <c r="J12" s="41" t="n">
        <v>3421</v>
      </c>
      <c r="K12" s="42">
        <f>IF(AND(B12="SELL",E12&gt;0,J12&lt;&gt;""),J12/E12,0)</f>
        <v/>
      </c>
      <c r="L12" s="42" t="n">
        <v>0.0034</v>
      </c>
      <c r="M12" s="40">
        <f>IF(AND(B12="SELL",L12&gt;0),D12*L12,0)</f>
        <v/>
      </c>
      <c r="N12" s="36" t="n"/>
      <c r="O12" s="43">
        <f>IF(AND(B12="SELL",G12&lt;&gt;0),Q12/ABS(G12),0)</f>
        <v/>
      </c>
      <c r="P12" s="43">
        <f>IF(AND(B12="SELL",D12&gt;0),R12/D12,0)</f>
        <v/>
      </c>
      <c r="Q12" s="44">
        <f>IF(AND(B12="SELL",D12&gt;0,E12&gt;0),(D12/E12)+G12,0)</f>
        <v/>
      </c>
      <c r="R12" s="45">
        <f>IF(B12="SELL",Q12*F12,0)</f>
        <v/>
      </c>
      <c r="S12" s="24">
        <f>S11+R12</f>
        <v/>
      </c>
    </row>
    <row r="13" ht="15.75" customHeight="1" s="94">
      <c r="A13" s="46" t="n">
        <v>12</v>
      </c>
      <c r="B13" s="47" t="inlineStr">
        <is>
          <t>SELL</t>
        </is>
      </c>
      <c r="C13" s="48" t="n">
        <v>45933</v>
      </c>
      <c r="D13" s="49" t="n">
        <v>22000</v>
      </c>
      <c r="E13" s="50" t="n">
        <v>964.8</v>
      </c>
      <c r="F13" s="50" t="n">
        <v>964.8</v>
      </c>
      <c r="G13" s="51" t="n">
        <v>-22.19</v>
      </c>
      <c r="H13" s="51" t="n"/>
      <c r="I13" s="30" t="n">
        <v>686.59</v>
      </c>
      <c r="J13" s="51" t="n">
        <v>286.5</v>
      </c>
      <c r="K13" s="52">
        <f>IF(AND(B13="SELL",E13&gt;0,J13&lt;&gt;""),J13/E13,0)</f>
        <v/>
      </c>
      <c r="L13" s="52" t="n">
        <v>0.289</v>
      </c>
      <c r="M13" s="50">
        <f>IF(AND(B13="SELL",L13&gt;0),D13*L13,0)</f>
        <v/>
      </c>
      <c r="N13" s="46" t="n"/>
      <c r="O13" s="53">
        <f>IF(AND(B13="SELL",G13&lt;&gt;0),Q13/ABS(G13),0)</f>
        <v/>
      </c>
      <c r="P13" s="53">
        <f>IF(AND(B13="SELL",D13&gt;0),R13/D13,0)</f>
        <v/>
      </c>
      <c r="Q13" s="54">
        <f>IF(AND(B13="SELL",D13&gt;0,E13&gt;0),(D13/E13)+G13,0)</f>
        <v/>
      </c>
      <c r="R13" s="55">
        <f>IF(B13="SELL",Q13*F13,0)</f>
        <v/>
      </c>
      <c r="S13" s="35">
        <f>S12+R13</f>
        <v/>
      </c>
    </row>
    <row r="14" ht="15.75" customHeight="1" s="94">
      <c r="A14" s="36" t="n">
        <v>13</v>
      </c>
      <c r="B14" s="37" t="inlineStr">
        <is>
          <t>SELL</t>
        </is>
      </c>
      <c r="C14" s="38" t="n">
        <v>45933</v>
      </c>
      <c r="D14" s="39" t="n">
        <v>80000</v>
      </c>
      <c r="E14" s="40" t="n">
        <v>964.8</v>
      </c>
      <c r="F14" s="40" t="n">
        <v>964.8</v>
      </c>
      <c r="G14" s="41" t="n">
        <v>-79.92</v>
      </c>
      <c r="H14" s="41" t="n"/>
      <c r="I14" s="19" t="n">
        <v>606.67</v>
      </c>
      <c r="J14" s="41" t="n">
        <v>289.26</v>
      </c>
      <c r="K14" s="42">
        <f>IF(AND(B14="SELL",E14&gt;0,J14&lt;&gt;""),J14/E14,0)</f>
        <v/>
      </c>
      <c r="L14" s="42" t="n">
        <v>0.289</v>
      </c>
      <c r="M14" s="40">
        <f>IF(AND(B14="SELL",L14&gt;0),D14*L14,0)</f>
        <v/>
      </c>
      <c r="N14" s="36" t="n"/>
      <c r="O14" s="43">
        <f>IF(AND(B14="SELL",G14&lt;&gt;0),Q14/ABS(G14),0)</f>
        <v/>
      </c>
      <c r="P14" s="43">
        <f>IF(AND(B14="SELL",D14&gt;0),R14/D14,0)</f>
        <v/>
      </c>
      <c r="Q14" s="44">
        <f>IF(AND(B14="SELL",D14&gt;0,E14&gt;0),(D14/E14)+G14,0)</f>
        <v/>
      </c>
      <c r="R14" s="45">
        <f>IF(B14="SELL",Q14*F14,0)</f>
        <v/>
      </c>
      <c r="S14" s="24">
        <f>S13+R14</f>
        <v/>
      </c>
    </row>
    <row r="15" ht="15.75" customHeight="1" s="94">
      <c r="A15" s="46" t="n">
        <v>14</v>
      </c>
      <c r="B15" s="47" t="inlineStr">
        <is>
          <t>SELL</t>
        </is>
      </c>
      <c r="C15" s="48" t="n">
        <v>45933</v>
      </c>
      <c r="D15" s="49" t="n">
        <v>80000</v>
      </c>
      <c r="E15" s="50" t="n">
        <v>964.8</v>
      </c>
      <c r="F15" s="50" t="n">
        <v>964.8</v>
      </c>
      <c r="G15" s="51" t="n">
        <v>-79.28</v>
      </c>
      <c r="H15" s="51" t="n"/>
      <c r="I15" s="30" t="n">
        <v>527.39</v>
      </c>
      <c r="J15" s="51" t="n">
        <v>291.61</v>
      </c>
      <c r="K15" s="52">
        <f>IF(AND(B15="SELL",E15&gt;0,J15&lt;&gt;""),J15/E15,0)</f>
        <v/>
      </c>
      <c r="L15" s="52" t="n">
        <v>0.289</v>
      </c>
      <c r="M15" s="50">
        <f>IF(AND(B15="SELL",L15&gt;0),D15*L15,0)</f>
        <v/>
      </c>
      <c r="N15" s="46" t="n"/>
      <c r="O15" s="53">
        <f>IF(AND(B15="SELL",G15&lt;&gt;0),Q15/ABS(G15),0)</f>
        <v/>
      </c>
      <c r="P15" s="53">
        <f>IF(AND(B15="SELL",D15&gt;0),R15/D15,0)</f>
        <v/>
      </c>
      <c r="Q15" s="54">
        <f>IF(AND(B15="SELL",D15&gt;0,E15&gt;0),(D15/E15)+G15,0)</f>
        <v/>
      </c>
      <c r="R15" s="55">
        <f>IF(B15="SELL",Q15*F15,0)</f>
        <v/>
      </c>
      <c r="S15" s="35">
        <f>S14+R15</f>
        <v/>
      </c>
    </row>
    <row r="16" ht="15.75" customHeight="1" s="94">
      <c r="A16" s="36" t="n">
        <v>15</v>
      </c>
      <c r="B16" s="37" t="inlineStr">
        <is>
          <t>SELL</t>
        </is>
      </c>
      <c r="C16" s="38" t="n">
        <v>45933</v>
      </c>
      <c r="D16" s="39" t="n">
        <v>25000</v>
      </c>
      <c r="E16" s="40" t="n">
        <v>964.8</v>
      </c>
      <c r="F16" s="40" t="n">
        <v>964.8</v>
      </c>
      <c r="G16" s="41" t="n">
        <v>-25.21</v>
      </c>
      <c r="H16" s="41" t="n"/>
      <c r="I16" s="19" t="n">
        <v>502.18</v>
      </c>
      <c r="J16" s="41" t="n">
        <v>286</v>
      </c>
      <c r="K16" s="42">
        <f>IF(AND(B16="SELL",E16&gt;0,J16&lt;&gt;""),J16/E16,0)</f>
        <v/>
      </c>
      <c r="L16" s="42" t="n">
        <v>0.289</v>
      </c>
      <c r="M16" s="40">
        <f>IF(AND(B16="SELL",L16&gt;0),D16*L16,0)</f>
        <v/>
      </c>
      <c r="N16" s="36" t="n"/>
      <c r="O16" s="43">
        <f>IF(AND(B16="SELL",G16&lt;&gt;0),Q16/ABS(G16),0)</f>
        <v/>
      </c>
      <c r="P16" s="43">
        <f>IF(AND(B16="SELL",D16&gt;0),R16/D16,0)</f>
        <v/>
      </c>
      <c r="Q16" s="44">
        <f>IF(AND(B16="SELL",D16&gt;0,E16&gt;0),(D16/E16)+G16,0)</f>
        <v/>
      </c>
      <c r="R16" s="45">
        <f>IF(B16="SELL",Q16*F16,0)</f>
        <v/>
      </c>
      <c r="S16" s="24">
        <f>S15+R16</f>
        <v/>
      </c>
    </row>
    <row r="17" ht="15.75" customHeight="1" s="94">
      <c r="A17" s="46" t="n">
        <v>16</v>
      </c>
      <c r="B17" s="47" t="inlineStr">
        <is>
          <t>SELL</t>
        </is>
      </c>
      <c r="C17" s="48" t="n">
        <v>45934</v>
      </c>
      <c r="D17" s="49" t="n">
        <v>20000</v>
      </c>
      <c r="E17" s="50" t="n">
        <v>964.8</v>
      </c>
      <c r="F17" s="50" t="n">
        <v>964.8</v>
      </c>
      <c r="G17" s="51" t="n">
        <v>-19.39</v>
      </c>
      <c r="H17" s="51" t="n"/>
      <c r="I17" s="30" t="n">
        <v>482.79</v>
      </c>
      <c r="J17" s="51" t="n">
        <v>291.858</v>
      </c>
      <c r="K17" s="52">
        <f>IF(AND(B17="SELL",E17&gt;0,J17&lt;&gt;""),J17/E17,0)</f>
        <v/>
      </c>
      <c r="L17" s="52" t="n">
        <v>0.283</v>
      </c>
      <c r="M17" s="50">
        <f>IF(AND(B17="SELL",L17&gt;0),D17*L17,0)</f>
        <v/>
      </c>
      <c r="N17" s="46" t="n"/>
      <c r="O17" s="53">
        <f>IF(AND(B17="SELL",G17&lt;&gt;0),Q17/ABS(G17),0)</f>
        <v/>
      </c>
      <c r="P17" s="53">
        <f>IF(AND(B17="SELL",D17&gt;0),R17/D17,0)</f>
        <v/>
      </c>
      <c r="Q17" s="54">
        <f>IF(AND(B17="SELL",D17&gt;0,E17&gt;0),(D17/E17)+G17,0)</f>
        <v/>
      </c>
      <c r="R17" s="55">
        <f>IF(B17="SELL",Q17*F17,0)</f>
        <v/>
      </c>
      <c r="S17" s="35">
        <f>S16+R17</f>
        <v/>
      </c>
    </row>
    <row r="18" ht="15.75" customHeight="1" s="94">
      <c r="A18" s="36" t="n">
        <v>17</v>
      </c>
      <c r="B18" s="37" t="inlineStr">
        <is>
          <t>SELL</t>
        </is>
      </c>
      <c r="C18" s="38" t="n">
        <v>45934</v>
      </c>
      <c r="D18" s="39" t="n">
        <v>53200</v>
      </c>
      <c r="E18" s="40" t="n">
        <v>964.8</v>
      </c>
      <c r="F18" s="40" t="n">
        <v>964.8</v>
      </c>
      <c r="G18" s="41" t="n">
        <v>-51.58</v>
      </c>
      <c r="H18" s="41" t="n"/>
      <c r="I18" s="19" t="n">
        <v>431.21</v>
      </c>
      <c r="J18" s="41" t="n">
        <v>291.858</v>
      </c>
      <c r="K18" s="42">
        <f>IF(AND(B18="SELL",E18&gt;0,J18&lt;&gt;""),J18/E18,0)</f>
        <v/>
      </c>
      <c r="L18" s="42" t="n">
        <v>0.283</v>
      </c>
      <c r="M18" s="40">
        <f>IF(AND(B18="SELL",L18&gt;0),D18*L18,0)</f>
        <v/>
      </c>
      <c r="N18" s="36" t="n"/>
      <c r="O18" s="43">
        <f>IF(AND(B18="SELL",G18&lt;&gt;0),Q18/ABS(G18),0)</f>
        <v/>
      </c>
      <c r="P18" s="43">
        <f>IF(AND(B18="SELL",D18&gt;0),R18/D18,0)</f>
        <v/>
      </c>
      <c r="Q18" s="44">
        <f>IF(AND(B18="SELL",D18&gt;0,E18&gt;0),(D18/E18)+G18,0)</f>
        <v/>
      </c>
      <c r="R18" s="45">
        <f>IF(B18="SELL",Q18*F18,0)</f>
        <v/>
      </c>
      <c r="S18" s="24">
        <f>S17+R18</f>
        <v/>
      </c>
    </row>
    <row r="19" ht="15.75" customHeight="1" s="94">
      <c r="A19" s="46" t="n">
        <v>18</v>
      </c>
      <c r="B19" s="47" t="inlineStr">
        <is>
          <t>SELL</t>
        </is>
      </c>
      <c r="C19" s="48" t="n">
        <v>45936</v>
      </c>
      <c r="D19" s="49" t="n">
        <v>5800</v>
      </c>
      <c r="E19" s="50" t="n">
        <v>964.8</v>
      </c>
      <c r="F19" s="50" t="n">
        <v>964.8</v>
      </c>
      <c r="G19" s="51" t="n">
        <v>-5.48</v>
      </c>
      <c r="H19" s="51" t="n"/>
      <c r="I19" s="30" t="n">
        <v>425.73</v>
      </c>
      <c r="J19" s="51" t="n">
        <v>291.858</v>
      </c>
      <c r="K19" s="52">
        <f>IF(AND(B19="SELL",E19&gt;0,J19&lt;&gt;""),J19/E19,0)</f>
        <v/>
      </c>
      <c r="L19" s="52" t="n">
        <v>0.276</v>
      </c>
      <c r="M19" s="50">
        <f>IF(AND(B19="SELL",L19&gt;0),D19*L19,0)</f>
        <v/>
      </c>
      <c r="N19" s="46" t="n"/>
      <c r="O19" s="53">
        <f>IF(AND(B19="SELL",G19&lt;&gt;0),Q19/ABS(G19),0)</f>
        <v/>
      </c>
      <c r="P19" s="53">
        <f>IF(AND(B19="SELL",D19&gt;0),R19/D19,0)</f>
        <v/>
      </c>
      <c r="Q19" s="54">
        <f>IF(AND(B19="SELL",D19&gt;0,E19&gt;0),(D19/E19)+G19,0)</f>
        <v/>
      </c>
      <c r="R19" s="55">
        <f>IF(B19="SELL",Q19*F19,0)</f>
        <v/>
      </c>
      <c r="S19" s="35">
        <f>S18+R19</f>
        <v/>
      </c>
    </row>
    <row r="20" ht="15.75" customHeight="1" s="94">
      <c r="A20" s="36" t="n">
        <v>19</v>
      </c>
      <c r="B20" s="37" t="inlineStr">
        <is>
          <t>SELL</t>
        </is>
      </c>
      <c r="C20" s="38" t="n">
        <v>45937</v>
      </c>
      <c r="D20" s="39" t="n">
        <v>10000</v>
      </c>
      <c r="E20" s="40" t="n">
        <v>964.8</v>
      </c>
      <c r="F20" s="40" t="n">
        <v>964.8</v>
      </c>
      <c r="G20" s="41" t="n">
        <v>-9.83</v>
      </c>
      <c r="H20" s="41" t="n"/>
      <c r="I20" s="19" t="n">
        <v>415.9</v>
      </c>
      <c r="J20" s="41" t="n">
        <v>291.858</v>
      </c>
      <c r="K20" s="42">
        <f>IF(AND(B20="SELL",E20&gt;0,J20&lt;&gt;""),J20/E20,0)</f>
        <v/>
      </c>
      <c r="L20" s="42" t="n">
        <v>0.287</v>
      </c>
      <c r="M20" s="40">
        <f>IF(AND(B20="SELL",L20&gt;0),D20*L20,0)</f>
        <v/>
      </c>
      <c r="N20" s="36" t="n"/>
      <c r="O20" s="43">
        <f>IF(AND(B20="SELL",G20&lt;&gt;0),Q20/ABS(G20),0)</f>
        <v/>
      </c>
      <c r="P20" s="43">
        <f>IF(AND(B20="SELL",D20&gt;0),R20/D20,0)</f>
        <v/>
      </c>
      <c r="Q20" s="44">
        <f>IF(AND(B20="SELL",D20&gt;0,E20&gt;0),(D20/E20)+G20,0)</f>
        <v/>
      </c>
      <c r="R20" s="45">
        <f>IF(B20="SELL",Q20*F20,0)</f>
        <v/>
      </c>
      <c r="S20" s="24">
        <f>S19+R20</f>
        <v/>
      </c>
    </row>
    <row r="21" ht="15.75" customHeight="1" s="94">
      <c r="A21" s="46" t="n">
        <v>20</v>
      </c>
      <c r="B21" s="47" t="inlineStr">
        <is>
          <t>SELL</t>
        </is>
      </c>
      <c r="C21" s="48" t="n">
        <v>45937</v>
      </c>
      <c r="D21" s="49" t="n">
        <v>50000</v>
      </c>
      <c r="E21" s="50" t="n">
        <v>964.8</v>
      </c>
      <c r="F21" s="50" t="n">
        <v>964.8</v>
      </c>
      <c r="G21" s="51" t="n">
        <v>-49.23</v>
      </c>
      <c r="H21" s="51" t="n"/>
      <c r="I21" s="30" t="n">
        <v>366.67</v>
      </c>
      <c r="J21" s="51" t="n">
        <v>291.858</v>
      </c>
      <c r="K21" s="52">
        <f>IF(AND(B21="SELL",E21&gt;0,J21&lt;&gt;""),J21/E21,0)</f>
        <v/>
      </c>
      <c r="L21" s="52" t="n">
        <v>0.287</v>
      </c>
      <c r="M21" s="50">
        <f>IF(AND(B21="SELL",L21&gt;0),D21*L21,0)</f>
        <v/>
      </c>
      <c r="N21" s="46" t="n"/>
      <c r="O21" s="53">
        <f>IF(AND(B21="SELL",G21&lt;&gt;0),Q21/ABS(G21),0)</f>
        <v/>
      </c>
      <c r="P21" s="53">
        <f>IF(AND(B21="SELL",D21&gt;0),R21/D21,0)</f>
        <v/>
      </c>
      <c r="Q21" s="54">
        <f>IF(AND(B21="SELL",D21&gt;0,E21&gt;0),(D21/E21)+G21,0)</f>
        <v/>
      </c>
      <c r="R21" s="55">
        <f>IF(B21="SELL",Q21*F21,0)</f>
        <v/>
      </c>
      <c r="S21" s="35">
        <f>S20+R21</f>
        <v/>
      </c>
    </row>
    <row r="22" ht="15.75" customHeight="1" s="94">
      <c r="A22" s="36" t="n">
        <v>21</v>
      </c>
      <c r="B22" s="37" t="inlineStr">
        <is>
          <t>SELL</t>
        </is>
      </c>
      <c r="C22" s="38" t="n">
        <v>45937</v>
      </c>
      <c r="D22" s="39" t="n">
        <v>20000</v>
      </c>
      <c r="E22" s="40" t="n">
        <v>964.8</v>
      </c>
      <c r="F22" s="40" t="n">
        <v>964.8</v>
      </c>
      <c r="G22" s="41" t="n">
        <v>-19.66</v>
      </c>
      <c r="H22" s="41" t="n"/>
      <c r="I22" s="19" t="n">
        <v>347.01</v>
      </c>
      <c r="J22" s="41" t="n">
        <v>291.858</v>
      </c>
      <c r="K22" s="42">
        <f>IF(AND(B22="SELL",E22&gt;0,J22&lt;&gt;""),J22/E22,0)</f>
        <v/>
      </c>
      <c r="L22" s="42" t="n">
        <v>0.287</v>
      </c>
      <c r="M22" s="40">
        <f>IF(AND(B22="SELL",L22&gt;0),D22*L22,0)</f>
        <v/>
      </c>
      <c r="N22" s="36" t="n"/>
      <c r="O22" s="43">
        <f>IF(AND(B22="SELL",G22&lt;&gt;0),Q22/ABS(G22),0)</f>
        <v/>
      </c>
      <c r="P22" s="43">
        <f>IF(AND(B22="SELL",D22&gt;0),R22/D22,0)</f>
        <v/>
      </c>
      <c r="Q22" s="44">
        <f>IF(AND(B22="SELL",D22&gt;0,E22&gt;0),(D22/E22)+G22,0)</f>
        <v/>
      </c>
      <c r="R22" s="45">
        <f>IF(B22="SELL",Q22*F22,0)</f>
        <v/>
      </c>
      <c r="S22" s="24">
        <f>S21+R22</f>
        <v/>
      </c>
    </row>
    <row r="23" ht="15.75" customHeight="1" s="94">
      <c r="A23" s="46" t="n">
        <v>22</v>
      </c>
      <c r="B23" s="47" t="inlineStr">
        <is>
          <t>SELL</t>
        </is>
      </c>
      <c r="C23" s="48" t="n">
        <v>45937</v>
      </c>
      <c r="D23" s="49" t="n">
        <v>70000</v>
      </c>
      <c r="E23" s="50" t="n">
        <v>964.8</v>
      </c>
      <c r="F23" s="50" t="n">
        <v>964.8</v>
      </c>
      <c r="G23" s="51" t="n">
        <v>-68.83</v>
      </c>
      <c r="H23" s="51" t="n"/>
      <c r="I23" s="30" t="n">
        <v>278.18</v>
      </c>
      <c r="J23" s="51" t="n">
        <v>291.858</v>
      </c>
      <c r="K23" s="52">
        <f>IF(AND(B23="SELL",E23&gt;0,J23&lt;&gt;""),J23/E23,0)</f>
        <v/>
      </c>
      <c r="L23" s="52" t="n">
        <v>0.287</v>
      </c>
      <c r="M23" s="50">
        <f>IF(AND(B23="SELL",L23&gt;0),D23*L23,0)</f>
        <v/>
      </c>
      <c r="N23" s="46" t="n"/>
      <c r="O23" s="53">
        <f>IF(AND(B23="SELL",G23&lt;&gt;0),Q23/ABS(G23),0)</f>
        <v/>
      </c>
      <c r="P23" s="53">
        <f>IF(AND(B23="SELL",D23&gt;0),R23/D23,0)</f>
        <v/>
      </c>
      <c r="Q23" s="54">
        <f>IF(AND(B23="SELL",D23&gt;0,E23&gt;0),(D23/E23)+G23,0)</f>
        <v/>
      </c>
      <c r="R23" s="55">
        <f>IF(B23="SELL",Q23*F23,0)</f>
        <v/>
      </c>
      <c r="S23" s="35">
        <f>S22+R23</f>
        <v/>
      </c>
    </row>
    <row r="24" ht="15.75" customHeight="1" s="94">
      <c r="A24" s="36" t="n">
        <v>23</v>
      </c>
      <c r="B24" s="37" t="inlineStr">
        <is>
          <t>SELL</t>
        </is>
      </c>
      <c r="C24" s="38" t="n">
        <v>45937</v>
      </c>
      <c r="D24" s="39" t="n">
        <v>150000</v>
      </c>
      <c r="E24" s="40" t="n">
        <v>964.8</v>
      </c>
      <c r="F24" s="40" t="n">
        <v>964.8</v>
      </c>
      <c r="G24" s="41" t="n">
        <v>-146</v>
      </c>
      <c r="H24" s="41" t="n"/>
      <c r="I24" s="19" t="n">
        <v>132.18</v>
      </c>
      <c r="J24" s="41" t="n">
        <v>294.55</v>
      </c>
      <c r="K24" s="42">
        <f>IF(AND(B24="SELL",E24&gt;0,J24&lt;&gt;""),J24/E24,0)</f>
        <v/>
      </c>
      <c r="L24" s="42" t="n">
        <v>0.287</v>
      </c>
      <c r="M24" s="40">
        <f>IF(AND(B24="SELL",L24&gt;0),D24*L24,0)</f>
        <v/>
      </c>
      <c r="N24" s="36" t="n"/>
      <c r="O24" s="43">
        <f>IF(AND(B24="SELL",G24&lt;&gt;0),Q24/ABS(G24),0)</f>
        <v/>
      </c>
      <c r="P24" s="43">
        <f>IF(AND(B24="SELL",D24&gt;0),R24/D24,0)</f>
        <v/>
      </c>
      <c r="Q24" s="44">
        <f>IF(AND(B24="SELL",D24&gt;0,E24&gt;0),(D24/E24)+G24,0)</f>
        <v/>
      </c>
      <c r="R24" s="45">
        <f>IF(B24="SELL",Q24*F24,0)</f>
        <v/>
      </c>
      <c r="S24" s="24">
        <f>S23+R24</f>
        <v/>
      </c>
    </row>
    <row r="25" ht="15.75" customHeight="1" s="94">
      <c r="A25" s="46" t="n">
        <v>24</v>
      </c>
      <c r="B25" s="47" t="inlineStr">
        <is>
          <t>SELL</t>
        </is>
      </c>
      <c r="C25" s="48" t="n">
        <v>45937</v>
      </c>
      <c r="D25" s="49" t="n">
        <v>150000</v>
      </c>
      <c r="E25" s="50" t="n">
        <v>964.8</v>
      </c>
      <c r="F25" s="50" t="n">
        <v>964.8</v>
      </c>
      <c r="G25" s="51" t="n">
        <v>-144.65</v>
      </c>
      <c r="H25" s="51" t="n"/>
      <c r="I25" s="30" t="n">
        <v>-12.47</v>
      </c>
      <c r="J25" s="51" t="n">
        <v>297.612</v>
      </c>
      <c r="K25" s="52">
        <f>IF(AND(B25="SELL",E25&gt;0,J25&lt;&gt;""),J25/E25,0)</f>
        <v/>
      </c>
      <c r="L25" s="52" t="n">
        <v>0.287</v>
      </c>
      <c r="M25" s="50">
        <f>IF(AND(B25="SELL",L25&gt;0),D25*L25,0)</f>
        <v/>
      </c>
      <c r="N25" s="46" t="n"/>
      <c r="O25" s="53">
        <f>IF(AND(B25="SELL",G25&lt;&gt;0),Q25/ABS(G25),0)</f>
        <v/>
      </c>
      <c r="P25" s="53">
        <f>IF(AND(B25="SELL",D25&gt;0),R25/D25,0)</f>
        <v/>
      </c>
      <c r="Q25" s="54">
        <f>IF(AND(B25="SELL",D25&gt;0,E25&gt;0),(D25/E25)+G25,0)</f>
        <v/>
      </c>
      <c r="R25" s="55">
        <f>IF(B25="SELL",Q25*F25,0)</f>
        <v/>
      </c>
      <c r="S25" s="35">
        <f>S24+R25</f>
        <v/>
      </c>
    </row>
    <row r="26" ht="15.75" customHeight="1" s="94">
      <c r="A26" s="36" t="n">
        <v>25</v>
      </c>
      <c r="B26" s="37" t="inlineStr">
        <is>
          <t>SELL</t>
        </is>
      </c>
      <c r="C26" s="38" t="n">
        <v>45937</v>
      </c>
      <c r="D26" s="39" t="n">
        <v>100000</v>
      </c>
      <c r="E26" s="40" t="n">
        <v>964.8</v>
      </c>
      <c r="F26" s="40" t="n">
        <v>964.8</v>
      </c>
      <c r="G26" s="41" t="n">
        <v>-96.43000000000001</v>
      </c>
      <c r="H26" s="41" t="n"/>
      <c r="I26" s="19" t="n">
        <v>-108.9</v>
      </c>
      <c r="J26" s="41" t="n">
        <v>297.612</v>
      </c>
      <c r="K26" s="42">
        <f>IF(AND(B26="SELL",E26&gt;0,J26&lt;&gt;""),J26/E26,0)</f>
        <v/>
      </c>
      <c r="L26" s="42" t="n">
        <v>0.287</v>
      </c>
      <c r="M26" s="40">
        <f>IF(AND(B26="SELL",L26&gt;0),D26*L26,0)</f>
        <v/>
      </c>
      <c r="N26" s="36" t="n"/>
      <c r="O26" s="43">
        <f>IF(AND(B26="SELL",G26&lt;&gt;0),Q26/ABS(G26),0)</f>
        <v/>
      </c>
      <c r="P26" s="43">
        <f>IF(AND(B26="SELL",D26&gt;0),R26/D26,0)</f>
        <v/>
      </c>
      <c r="Q26" s="44">
        <f>IF(AND(B26="SELL",D26&gt;0,E26&gt;0),(D26/E26)+G26,0)</f>
        <v/>
      </c>
      <c r="R26" s="45">
        <f>IF(B26="SELL",Q26*F26,0)</f>
        <v/>
      </c>
      <c r="S26" s="24">
        <f>S25+R26</f>
        <v/>
      </c>
    </row>
    <row r="27" ht="15.75" customHeight="1" s="94">
      <c r="A27" s="46" t="n">
        <v>26</v>
      </c>
      <c r="B27" s="47" t="inlineStr">
        <is>
          <t>SELL</t>
        </is>
      </c>
      <c r="C27" s="48" t="n">
        <v>45938</v>
      </c>
      <c r="D27" s="49" t="n">
        <v>50000</v>
      </c>
      <c r="E27" s="50" t="n">
        <v>964.8</v>
      </c>
      <c r="F27" s="50" t="n">
        <v>964.8</v>
      </c>
      <c r="G27" s="51" t="n">
        <v>-49.22</v>
      </c>
      <c r="H27" s="51" t="n"/>
      <c r="I27" s="30" t="n">
        <v>-158.12</v>
      </c>
      <c r="J27" s="51" t="n">
        <v>297.612</v>
      </c>
      <c r="K27" s="52">
        <f>IF(AND(B27="SELL",E27&gt;0,J27&lt;&gt;""),J27/E27,0)</f>
        <v/>
      </c>
      <c r="L27" s="52" t="n">
        <v>0.293</v>
      </c>
      <c r="M27" s="50">
        <f>IF(AND(B27="SELL",L27&gt;0),D27*L27,0)</f>
        <v/>
      </c>
      <c r="N27" s="46" t="n"/>
      <c r="O27" s="53">
        <f>IF(AND(B27="SELL",G27&lt;&gt;0),Q27/ABS(G27),0)</f>
        <v/>
      </c>
      <c r="P27" s="53">
        <f>IF(AND(B27="SELL",D27&gt;0),R27/D27,0)</f>
        <v/>
      </c>
      <c r="Q27" s="54">
        <f>IF(AND(B27="SELL",D27&gt;0,E27&gt;0),(D27/E27)+G27,0)</f>
        <v/>
      </c>
      <c r="R27" s="55">
        <f>IF(B27="SELL",Q27*F27,0)</f>
        <v/>
      </c>
      <c r="S27" s="35">
        <f>S26+R27</f>
        <v/>
      </c>
    </row>
    <row r="28" ht="15.75" customHeight="1" s="94">
      <c r="A28" s="36" t="n">
        <v>27</v>
      </c>
      <c r="B28" s="37" t="inlineStr">
        <is>
          <t>SELL</t>
        </is>
      </c>
      <c r="C28" s="38" t="n">
        <v>45938</v>
      </c>
      <c r="D28" s="39" t="n">
        <v>20000</v>
      </c>
      <c r="E28" s="40" t="n">
        <v>964.8</v>
      </c>
      <c r="F28" s="40" t="n">
        <v>964.8</v>
      </c>
      <c r="G28" s="41" t="n">
        <v>-19.68</v>
      </c>
      <c r="H28" s="41" t="n"/>
      <c r="I28" s="19" t="n">
        <v>-177.8</v>
      </c>
      <c r="J28" s="41" t="n">
        <v>297.612</v>
      </c>
      <c r="K28" s="42">
        <f>IF(AND(B28="SELL",E28&gt;0,J28&lt;&gt;""),J28/E28,0)</f>
        <v/>
      </c>
      <c r="L28" s="42" t="n">
        <v>0.293</v>
      </c>
      <c r="M28" s="40">
        <f>IF(AND(B28="SELL",L28&gt;0),D28*L28,0)</f>
        <v/>
      </c>
      <c r="N28" s="36" t="n"/>
      <c r="O28" s="43">
        <f>IF(AND(B28="SELL",G28&lt;&gt;0),Q28/ABS(G28),0)</f>
        <v/>
      </c>
      <c r="P28" s="43">
        <f>IF(AND(B28="SELL",D28&gt;0),R28/D28,0)</f>
        <v/>
      </c>
      <c r="Q28" s="44">
        <f>IF(AND(B28="SELL",D28&gt;0,E28&gt;0),(D28/E28)+G28,0)</f>
        <v/>
      </c>
      <c r="R28" s="45">
        <f>IF(B28="SELL",Q28*F28,0)</f>
        <v/>
      </c>
      <c r="S28" s="24">
        <f>S27+R28</f>
        <v/>
      </c>
    </row>
    <row r="29" ht="15.75" customHeight="1" s="94">
      <c r="A29" s="25" t="n">
        <v>28</v>
      </c>
      <c r="B29" s="26" t="inlineStr">
        <is>
          <t>BUY</t>
        </is>
      </c>
      <c r="C29" s="27" t="n">
        <v>45938</v>
      </c>
      <c r="D29" s="28" t="n">
        <v>998700</v>
      </c>
      <c r="E29" s="29" t="n">
        <v>963</v>
      </c>
      <c r="F29" s="29" t="n">
        <v>963</v>
      </c>
      <c r="G29" s="30" t="n">
        <v>1038.42</v>
      </c>
      <c r="H29" s="30" t="n"/>
      <c r="I29" s="30" t="n">
        <v>860.62</v>
      </c>
      <c r="J29" s="30" t="n"/>
      <c r="K29" s="31">
        <f>IF(AND(B29="SELL",E29&gt;0,J29&lt;&gt;""),J29/E29,0)</f>
        <v/>
      </c>
      <c r="L29" s="31" t="n">
        <v>0</v>
      </c>
      <c r="M29" s="29">
        <f>IF(AND(B29="SELL",L29&gt;0),D29*L29,0)</f>
        <v/>
      </c>
      <c r="N29" s="25" t="inlineStr">
        <is>
          <t>Compra de USDT</t>
        </is>
      </c>
      <c r="O29" s="32">
        <f>IF(AND(B29="SELL",G29&lt;&gt;0),Q29/ABS(G29),0)</f>
        <v/>
      </c>
      <c r="P29" s="32">
        <f>IF(AND(B29="SELL",D29&gt;0),R29/D29,0)</f>
        <v/>
      </c>
      <c r="Q29" s="33">
        <f>IF(AND(B29="SELL",D29&gt;0,E29&gt;0),(D29/E29)+G29,0)</f>
        <v/>
      </c>
      <c r="R29" s="34">
        <f>IF(B29="SELL",Q29*F29,0)</f>
        <v/>
      </c>
      <c r="S29" s="35">
        <f>S28+R29</f>
        <v/>
      </c>
    </row>
    <row r="30" ht="15.75" customHeight="1" s="94">
      <c r="A30" s="36" t="n">
        <v>29</v>
      </c>
      <c r="B30" s="37" t="inlineStr">
        <is>
          <t>SELL</t>
        </is>
      </c>
      <c r="C30" s="38" t="n">
        <v>45938</v>
      </c>
      <c r="D30" s="39" t="n">
        <v>30000</v>
      </c>
      <c r="E30" s="40" t="n">
        <v>963</v>
      </c>
      <c r="F30" s="40" t="n">
        <v>963</v>
      </c>
      <c r="G30" s="41" t="n">
        <v>-29.17</v>
      </c>
      <c r="H30" s="41" t="n"/>
      <c r="I30" s="19" t="n">
        <v>831.45</v>
      </c>
      <c r="J30" s="41" t="n"/>
      <c r="K30" s="42">
        <f>IF(AND(B30="SELL",E30&gt;0,J30&lt;&gt;""),J30/E30,0)</f>
        <v/>
      </c>
      <c r="L30" s="42" t="n">
        <v>0.000845</v>
      </c>
      <c r="M30" s="40">
        <f>IF(AND(B30="SELL",L30&gt;0),D30*L30,0)</f>
        <v/>
      </c>
      <c r="N30" s="36" t="n"/>
      <c r="O30" s="43">
        <f>IF(AND(B30="SELL",G30&lt;&gt;0),Q30/ABS(G30),0)</f>
        <v/>
      </c>
      <c r="P30" s="43">
        <f>IF(AND(B30="SELL",D30&gt;0),R30/D30,0)</f>
        <v/>
      </c>
      <c r="Q30" s="44">
        <f>IF(AND(B30="SELL",D30&gt;0,E30&gt;0),(D30/E30)+G30,0)</f>
        <v/>
      </c>
      <c r="R30" s="45">
        <f>IF(B30="SELL",Q30*F30,0)</f>
        <v/>
      </c>
      <c r="S30" s="24">
        <f>S29+R30</f>
        <v/>
      </c>
    </row>
    <row r="31" ht="15.75" customHeight="1" s="94">
      <c r="A31" s="46" t="n">
        <v>30</v>
      </c>
      <c r="B31" s="47" t="inlineStr">
        <is>
          <t>SELL</t>
        </is>
      </c>
      <c r="C31" s="48" t="n">
        <v>45938</v>
      </c>
      <c r="D31" s="49" t="n">
        <v>100000</v>
      </c>
      <c r="E31" s="50" t="n">
        <v>963</v>
      </c>
      <c r="F31" s="50" t="n">
        <v>963</v>
      </c>
      <c r="G31" s="51" t="n">
        <v>-94.23999999999999</v>
      </c>
      <c r="H31" s="51" t="n"/>
      <c r="I31" s="30" t="n">
        <v>737.21</v>
      </c>
      <c r="J31" s="51" t="n"/>
      <c r="K31" s="52">
        <f>IF(AND(B31="SELL",E31&gt;0,J31&lt;&gt;""),J31/E31,0)</f>
        <v/>
      </c>
      <c r="L31" s="52" t="n">
        <v>0.0172</v>
      </c>
      <c r="M31" s="50">
        <f>IF(AND(B31="SELL",L31&gt;0),D31*L31,0)</f>
        <v/>
      </c>
      <c r="N31" s="46" t="inlineStr">
        <is>
          <t>cambio mex</t>
        </is>
      </c>
      <c r="O31" s="53">
        <f>IF(AND(B31="SELL",G31&lt;&gt;0),Q31/ABS(G31),0)</f>
        <v/>
      </c>
      <c r="P31" s="53">
        <f>IF(AND(B31="SELL",D31&gt;0),R31/D31,0)</f>
        <v/>
      </c>
      <c r="Q31" s="54">
        <f>IF(AND(B31="SELL",D31&gt;0,E31&gt;0),(D31/E31)+G31,0)</f>
        <v/>
      </c>
      <c r="R31" s="55">
        <f>IF(B31="SELL",Q31*F31,0)</f>
        <v/>
      </c>
      <c r="S31" s="35">
        <f>S30+R31</f>
        <v/>
      </c>
    </row>
    <row r="32" ht="15.75" customHeight="1" s="94">
      <c r="A32" s="36" t="n">
        <v>31</v>
      </c>
      <c r="B32" s="37" t="inlineStr">
        <is>
          <t>SELL</t>
        </is>
      </c>
      <c r="C32" s="38" t="n">
        <v>45939</v>
      </c>
      <c r="D32" s="39" t="n">
        <v>25000</v>
      </c>
      <c r="E32" s="40" t="n">
        <v>963</v>
      </c>
      <c r="F32" s="40" t="n">
        <v>963</v>
      </c>
      <c r="G32" s="41" t="n">
        <v>-24.51</v>
      </c>
      <c r="H32" s="41" t="n"/>
      <c r="I32" s="19" t="n">
        <v>712.7</v>
      </c>
      <c r="J32" s="41" t="n">
        <v>298.8</v>
      </c>
      <c r="K32" s="42">
        <f>IF(AND(B32="SELL",E32&gt;0,J32&lt;&gt;""),J32/E32,0)</f>
        <v/>
      </c>
      <c r="L32" s="42" t="n">
        <v>0.293</v>
      </c>
      <c r="M32" s="40">
        <f>IF(AND(B32="SELL",L32&gt;0),D32*L32,0)</f>
        <v/>
      </c>
      <c r="N32" s="36" t="n"/>
      <c r="O32" s="43">
        <f>IF(AND(B32="SELL",G32&lt;&gt;0),Q32/ABS(G32),0)</f>
        <v/>
      </c>
      <c r="P32" s="43">
        <f>IF(AND(B32="SELL",D32&gt;0),R32/D32,0)</f>
        <v/>
      </c>
      <c r="Q32" s="44">
        <f>IF(AND(B32="SELL",D32&gt;0,E32&gt;0),(D32/E32)+G32,0)</f>
        <v/>
      </c>
      <c r="R32" s="45">
        <f>IF(B32="SELL",Q32*F32,0)</f>
        <v/>
      </c>
      <c r="S32" s="24">
        <f>S31+R32</f>
        <v/>
      </c>
    </row>
    <row r="33" ht="15.75" customHeight="1" s="94">
      <c r="A33" s="46" t="n">
        <v>32</v>
      </c>
      <c r="B33" s="47" t="inlineStr">
        <is>
          <t>SELL</t>
        </is>
      </c>
      <c r="C33" s="48" t="n">
        <v>45939</v>
      </c>
      <c r="D33" s="49" t="n">
        <v>25000</v>
      </c>
      <c r="E33" s="50" t="n">
        <v>963</v>
      </c>
      <c r="F33" s="50" t="n">
        <v>963</v>
      </c>
      <c r="G33" s="51" t="n">
        <v>-24.51</v>
      </c>
      <c r="H33" s="51" t="n"/>
      <c r="I33" s="30" t="n">
        <v>688.1900000000001</v>
      </c>
      <c r="J33" s="51" t="n">
        <v>298.8</v>
      </c>
      <c r="K33" s="52">
        <f>IF(AND(B33="SELL",E33&gt;0,J33&lt;&gt;""),J33/E33,0)</f>
        <v/>
      </c>
      <c r="L33" s="52" t="n">
        <v>0.293</v>
      </c>
      <c r="M33" s="50">
        <f>IF(AND(B33="SELL",L33&gt;0),D33*L33,0)</f>
        <v/>
      </c>
      <c r="N33" s="46" t="n"/>
      <c r="O33" s="53">
        <f>IF(AND(B33="SELL",G33&lt;&gt;0),Q33/ABS(G33),0)</f>
        <v/>
      </c>
      <c r="P33" s="53">
        <f>IF(AND(B33="SELL",D33&gt;0),R33/D33,0)</f>
        <v/>
      </c>
      <c r="Q33" s="54">
        <f>IF(AND(B33="SELL",D33&gt;0,E33&gt;0),(D33/E33)+G33,0)</f>
        <v/>
      </c>
      <c r="R33" s="55">
        <f>IF(B33="SELL",Q33*F33,0)</f>
        <v/>
      </c>
      <c r="S33" s="35">
        <f>S32+R33</f>
        <v/>
      </c>
    </row>
    <row r="34" ht="15.75" customHeight="1" s="94">
      <c r="A34" s="36" t="n">
        <v>33</v>
      </c>
      <c r="B34" s="37" t="inlineStr">
        <is>
          <t>SELL</t>
        </is>
      </c>
      <c r="C34" s="38" t="n">
        <v>45939</v>
      </c>
      <c r="D34" s="39" t="n">
        <v>32700</v>
      </c>
      <c r="E34" s="40" t="n">
        <v>963</v>
      </c>
      <c r="F34" s="40" t="n">
        <v>963</v>
      </c>
      <c r="G34" s="41" t="n">
        <v>-32.06</v>
      </c>
      <c r="H34" s="41" t="n"/>
      <c r="I34" s="19" t="n">
        <v>656.13</v>
      </c>
      <c r="J34" s="41" t="n">
        <v>298.8</v>
      </c>
      <c r="K34" s="42">
        <f>IF(AND(B34="SELL",E34&gt;0,J34&lt;&gt;""),J34/E34,0)</f>
        <v/>
      </c>
      <c r="L34" s="42" t="n">
        <v>0.293</v>
      </c>
      <c r="M34" s="40">
        <f>IF(AND(B34="SELL",L34&gt;0),D34*L34,0)</f>
        <v/>
      </c>
      <c r="N34" s="36" t="n"/>
      <c r="O34" s="43">
        <f>IF(AND(B34="SELL",G34&lt;&gt;0),Q34/ABS(G34),0)</f>
        <v/>
      </c>
      <c r="P34" s="43">
        <f>IF(AND(B34="SELL",D34&gt;0),R34/D34,0)</f>
        <v/>
      </c>
      <c r="Q34" s="44">
        <f>IF(AND(B34="SELL",D34&gt;0,E34&gt;0),(D34/E34)+G34,0)</f>
        <v/>
      </c>
      <c r="R34" s="45">
        <f>IF(B34="SELL",Q34*F34,0)</f>
        <v/>
      </c>
      <c r="S34" s="24">
        <f>S33+R34</f>
        <v/>
      </c>
    </row>
    <row r="35" ht="15.75" customHeight="1" s="94">
      <c r="A35" s="46" t="n">
        <v>34</v>
      </c>
      <c r="B35" s="47" t="inlineStr">
        <is>
          <t>SELL</t>
        </is>
      </c>
      <c r="C35" s="48" t="n">
        <v>45939</v>
      </c>
      <c r="D35" s="49" t="n">
        <v>100000</v>
      </c>
      <c r="E35" s="50" t="n">
        <v>963</v>
      </c>
      <c r="F35" s="50" t="n">
        <v>963</v>
      </c>
      <c r="G35" s="51" t="n">
        <v>-98.05</v>
      </c>
      <c r="H35" s="51" t="n"/>
      <c r="I35" s="30" t="n">
        <v>558.08</v>
      </c>
      <c r="J35" s="51" t="n">
        <v>298.8</v>
      </c>
      <c r="K35" s="52">
        <f>IF(AND(B35="SELL",E35&gt;0,J35&lt;&gt;""),J35/E35,0)</f>
        <v/>
      </c>
      <c r="L35" s="52" t="n">
        <v>0.293</v>
      </c>
      <c r="M35" s="50">
        <f>IF(AND(B35="SELL",L35&gt;0),D35*L35,0)</f>
        <v/>
      </c>
      <c r="N35" s="46" t="n"/>
      <c r="O35" s="53">
        <f>IF(AND(B35="SELL",G35&lt;&gt;0),Q35/ABS(G35),0)</f>
        <v/>
      </c>
      <c r="P35" s="53">
        <f>IF(AND(B35="SELL",D35&gt;0),R35/D35,0)</f>
        <v/>
      </c>
      <c r="Q35" s="54">
        <f>IF(AND(B35="SELL",D35&gt;0,E35&gt;0),(D35/E35)+G35,0)</f>
        <v/>
      </c>
      <c r="R35" s="55">
        <f>IF(B35="SELL",Q35*F35,0)</f>
        <v/>
      </c>
      <c r="S35" s="35">
        <f>S34+R35</f>
        <v/>
      </c>
    </row>
    <row r="36" ht="15.75" customHeight="1" s="94">
      <c r="A36" s="36" t="n">
        <v>35</v>
      </c>
      <c r="B36" s="37" t="inlineStr">
        <is>
          <t>SELL</t>
        </is>
      </c>
      <c r="C36" s="38" t="n">
        <v>45939</v>
      </c>
      <c r="D36" s="39" t="n">
        <v>17000</v>
      </c>
      <c r="E36" s="40" t="n">
        <v>963</v>
      </c>
      <c r="F36" s="40" t="n">
        <v>963</v>
      </c>
      <c r="G36" s="41" t="n">
        <v>-16.69</v>
      </c>
      <c r="H36" s="41" t="n"/>
      <c r="I36" s="19" t="n">
        <v>541.39</v>
      </c>
      <c r="J36" s="41" t="n">
        <v>298.401</v>
      </c>
      <c r="K36" s="42">
        <f>IF(AND(B36="SELL",E36&gt;0,J36&lt;&gt;""),J36/E36,0)</f>
        <v/>
      </c>
      <c r="L36" s="42" t="n">
        <v>0.293</v>
      </c>
      <c r="M36" s="40">
        <f>IF(AND(B36="SELL",L36&gt;0),D36*L36,0)</f>
        <v/>
      </c>
      <c r="N36" s="36" t="n"/>
      <c r="O36" s="43">
        <f>IF(AND(B36="SELL",G36&lt;&gt;0),Q36/ABS(G36),0)</f>
        <v/>
      </c>
      <c r="P36" s="43">
        <f>IF(AND(B36="SELL",D36&gt;0),R36/D36,0)</f>
        <v/>
      </c>
      <c r="Q36" s="44">
        <f>IF(AND(B36="SELL",D36&gt;0,E36&gt;0),(D36/E36)+G36,0)</f>
        <v/>
      </c>
      <c r="R36" s="45">
        <f>IF(B36="SELL",Q36*F36,0)</f>
        <v/>
      </c>
      <c r="S36" s="24">
        <f>S35+R36</f>
        <v/>
      </c>
    </row>
    <row r="37" ht="15.75" customHeight="1" s="94">
      <c r="A37" s="46" t="n">
        <v>36</v>
      </c>
      <c r="B37" s="47" t="inlineStr">
        <is>
          <t>SELL</t>
        </is>
      </c>
      <c r="C37" s="48" t="n">
        <v>45940</v>
      </c>
      <c r="D37" s="49" t="n">
        <v>20000</v>
      </c>
      <c r="E37" s="50" t="n">
        <v>963</v>
      </c>
      <c r="F37" s="50" t="n">
        <v>963</v>
      </c>
      <c r="G37" s="51" t="n">
        <v>-19.43</v>
      </c>
      <c r="H37" s="51" t="n"/>
      <c r="I37" s="30" t="n">
        <v>521.96</v>
      </c>
      <c r="J37" s="51" t="n">
        <v>298.401</v>
      </c>
      <c r="K37" s="52">
        <f>IF(AND(B37="SELL",E37&gt;0,J37&lt;&gt;""),J37/E37,0)</f>
        <v/>
      </c>
      <c r="L37" s="52" t="n">
        <v>0.29</v>
      </c>
      <c r="M37" s="50">
        <f>IF(AND(B37="SELL",L37&gt;0),D37*L37,0)</f>
        <v/>
      </c>
      <c r="N37" s="46" t="n"/>
      <c r="O37" s="53">
        <f>IF(AND(B37="SELL",G37&lt;&gt;0),Q37/ABS(G37),0)</f>
        <v/>
      </c>
      <c r="P37" s="53">
        <f>IF(AND(B37="SELL",D37&gt;0),R37/D37,0)</f>
        <v/>
      </c>
      <c r="Q37" s="54">
        <f>IF(AND(B37="SELL",D37&gt;0,E37&gt;0),(D37/E37)+G37,0)</f>
        <v/>
      </c>
      <c r="R37" s="55">
        <f>IF(B37="SELL",Q37*F37,0)</f>
        <v/>
      </c>
      <c r="S37" s="35">
        <f>S36+R37</f>
        <v/>
      </c>
    </row>
    <row r="38" ht="15.75" customHeight="1" s="94">
      <c r="A38" s="36" t="n">
        <v>37</v>
      </c>
      <c r="B38" s="37" t="inlineStr">
        <is>
          <t>SELL</t>
        </is>
      </c>
      <c r="C38" s="38" t="n">
        <v>45940</v>
      </c>
      <c r="D38" s="39" t="n">
        <v>30000</v>
      </c>
      <c r="E38" s="40" t="n">
        <v>963</v>
      </c>
      <c r="F38" s="40" t="n">
        <v>963</v>
      </c>
      <c r="G38" s="41" t="n">
        <v>-29.15</v>
      </c>
      <c r="H38" s="41" t="n"/>
      <c r="I38" s="19" t="n">
        <v>492.81</v>
      </c>
      <c r="J38" s="41" t="n">
        <v>298.401</v>
      </c>
      <c r="K38" s="42">
        <f>IF(AND(B38="SELL",E38&gt;0,J38&lt;&gt;""),J38/E38,0)</f>
        <v/>
      </c>
      <c r="L38" s="42" t="n">
        <v>0.29</v>
      </c>
      <c r="M38" s="40">
        <f>IF(AND(B38="SELL",L38&gt;0),D38*L38,0)</f>
        <v/>
      </c>
      <c r="N38" s="36" t="n"/>
      <c r="O38" s="43">
        <f>IF(AND(B38="SELL",G38&lt;&gt;0),Q38/ABS(G38),0)</f>
        <v/>
      </c>
      <c r="P38" s="43">
        <f>IF(AND(B38="SELL",D38&gt;0),R38/D38,0)</f>
        <v/>
      </c>
      <c r="Q38" s="44">
        <f>IF(AND(B38="SELL",D38&gt;0,E38&gt;0),(D38/E38)+G38,0)</f>
        <v/>
      </c>
      <c r="R38" s="45">
        <f>IF(B38="SELL",Q38*F38,0)</f>
        <v/>
      </c>
      <c r="S38" s="24">
        <f>S37+R38</f>
        <v/>
      </c>
    </row>
    <row r="39" ht="15.75" customHeight="1" s="94">
      <c r="A39" s="46" t="n">
        <v>38</v>
      </c>
      <c r="B39" s="47" t="inlineStr">
        <is>
          <t>SELL</t>
        </is>
      </c>
      <c r="C39" s="48" t="n">
        <v>45940</v>
      </c>
      <c r="D39" s="49" t="n">
        <v>20000</v>
      </c>
      <c r="E39" s="50" t="n">
        <v>963</v>
      </c>
      <c r="F39" s="50" t="n">
        <v>963</v>
      </c>
      <c r="G39" s="51" t="n">
        <v>-19.43</v>
      </c>
      <c r="H39" s="51" t="n"/>
      <c r="I39" s="30" t="n">
        <v>473.38</v>
      </c>
      <c r="J39" s="51" t="n">
        <v>298.401</v>
      </c>
      <c r="K39" s="52">
        <f>IF(AND(B39="SELL",E39&gt;0,J39&lt;&gt;""),J39/E39,0)</f>
        <v/>
      </c>
      <c r="L39" s="52" t="n">
        <v>0.29</v>
      </c>
      <c r="M39" s="50">
        <f>IF(AND(B39="SELL",L39&gt;0),D39*L39,0)</f>
        <v/>
      </c>
      <c r="N39" s="46" t="n"/>
      <c r="O39" s="53">
        <f>IF(AND(B39="SELL",G39&lt;&gt;0),Q39/ABS(G39),0)</f>
        <v/>
      </c>
      <c r="P39" s="53">
        <f>IF(AND(B39="SELL",D39&gt;0),R39/D39,0)</f>
        <v/>
      </c>
      <c r="Q39" s="54">
        <f>IF(AND(B39="SELL",D39&gt;0,E39&gt;0),(D39/E39)+G39,0)</f>
        <v/>
      </c>
      <c r="R39" s="55">
        <f>IF(B39="SELL",Q39*F39,0)</f>
        <v/>
      </c>
      <c r="S39" s="35">
        <f>S38+R39</f>
        <v/>
      </c>
    </row>
    <row r="40" ht="15.75" customHeight="1" s="94">
      <c r="A40" s="36" t="n">
        <v>39</v>
      </c>
      <c r="B40" s="37" t="inlineStr">
        <is>
          <t>SELL</t>
        </is>
      </c>
      <c r="C40" s="38" t="n">
        <v>45940</v>
      </c>
      <c r="D40" s="39" t="n">
        <v>50000</v>
      </c>
      <c r="E40" s="40" t="n">
        <v>963</v>
      </c>
      <c r="F40" s="40" t="n">
        <v>963</v>
      </c>
      <c r="G40" s="41" t="n">
        <v>-48.59</v>
      </c>
      <c r="H40" s="41" t="n"/>
      <c r="I40" s="19" t="n">
        <v>424.79</v>
      </c>
      <c r="J40" s="41" t="n">
        <v>298.401</v>
      </c>
      <c r="K40" s="42">
        <f>IF(AND(B40="SELL",E40&gt;0,J40&lt;&gt;""),J40/E40,0)</f>
        <v/>
      </c>
      <c r="L40" s="42" t="n">
        <v>0.29</v>
      </c>
      <c r="M40" s="40">
        <f>IF(AND(B40="SELL",L40&gt;0),D40*L40,0)</f>
        <v/>
      </c>
      <c r="N40" s="36" t="n"/>
      <c r="O40" s="43">
        <f>IF(AND(B40="SELL",G40&lt;&gt;0),Q40/ABS(G40),0)</f>
        <v/>
      </c>
      <c r="P40" s="43">
        <f>IF(AND(B40="SELL",D40&gt;0),R40/D40,0)</f>
        <v/>
      </c>
      <c r="Q40" s="44">
        <f>IF(AND(B40="SELL",D40&gt;0,E40&gt;0),(D40/E40)+G40,0)</f>
        <v/>
      </c>
      <c r="R40" s="45">
        <f>IF(B40="SELL",Q40*F40,0)</f>
        <v/>
      </c>
      <c r="S40" s="24">
        <f>S39+R40</f>
        <v/>
      </c>
    </row>
    <row r="41" ht="15.75" customHeight="1" s="94">
      <c r="A41" s="46" t="n">
        <v>40</v>
      </c>
      <c r="B41" s="47" t="inlineStr">
        <is>
          <t>SELL</t>
        </is>
      </c>
      <c r="C41" s="48" t="n">
        <v>45941</v>
      </c>
      <c r="D41" s="49" t="n">
        <v>30000</v>
      </c>
      <c r="E41" s="50" t="n">
        <v>963</v>
      </c>
      <c r="F41" s="50" t="n">
        <v>963</v>
      </c>
      <c r="G41" s="51" t="n">
        <v>-28.71</v>
      </c>
      <c r="H41" s="51" t="n"/>
      <c r="I41" s="30" t="n">
        <v>396.08</v>
      </c>
      <c r="J41" s="51" t="n">
        <v>284.5</v>
      </c>
      <c r="K41" s="52">
        <f>IF(AND(B41="SELL",E41&gt;0,J41&lt;&gt;""),J41/E41,0)</f>
        <v/>
      </c>
      <c r="L41" s="52" t="n">
        <v>0.288</v>
      </c>
      <c r="M41" s="50">
        <f>IF(AND(B41="SELL",L41&gt;0),D41*L41,0)</f>
        <v/>
      </c>
      <c r="N41" s="46" t="inlineStr">
        <is>
          <t>cambio zuleika</t>
        </is>
      </c>
      <c r="O41" s="53">
        <f>IF(AND(B41="SELL",G41&lt;&gt;0),Q41/ABS(G41),0)</f>
        <v/>
      </c>
      <c r="P41" s="53">
        <f>IF(AND(B41="SELL",D41&gt;0),R41/D41,0)</f>
        <v/>
      </c>
      <c r="Q41" s="54">
        <f>IF(AND(B41="SELL",D41&gt;0,E41&gt;0),(D41/E41)+G41,0)</f>
        <v/>
      </c>
      <c r="R41" s="55">
        <f>IF(B41="SELL",Q41*F41,0)</f>
        <v/>
      </c>
      <c r="S41" s="35">
        <f>S40+R41</f>
        <v/>
      </c>
    </row>
    <row r="42" ht="15.75" customHeight="1" s="94">
      <c r="A42" s="36" t="n">
        <v>41</v>
      </c>
      <c r="B42" s="37" t="inlineStr">
        <is>
          <t>SELL</t>
        </is>
      </c>
      <c r="C42" s="38" t="n">
        <v>45941</v>
      </c>
      <c r="D42" s="39" t="n">
        <v>50000</v>
      </c>
      <c r="E42" s="40" t="n">
        <v>963</v>
      </c>
      <c r="F42" s="40" t="n">
        <v>963</v>
      </c>
      <c r="G42" s="41" t="n">
        <v>-49.93</v>
      </c>
      <c r="H42" s="41" t="n"/>
      <c r="I42" s="19" t="n">
        <v>346.15</v>
      </c>
      <c r="J42" s="41" t="n">
        <v>290.35</v>
      </c>
      <c r="K42" s="42">
        <f>IF(AND(B42="SELL",E42&gt;0,J42&lt;&gt;""),J42/E42,0)</f>
        <v/>
      </c>
      <c r="L42" s="42" t="n">
        <v>0.288</v>
      </c>
      <c r="M42" s="40">
        <f>IF(AND(B42="SELL",L42&gt;0),D42*L42,0)</f>
        <v/>
      </c>
      <c r="N42" s="36" t="inlineStr">
        <is>
          <t>cambio paula papa</t>
        </is>
      </c>
      <c r="O42" s="43">
        <f>IF(AND(B42="SELL",G42&lt;&gt;0),Q42/ABS(G42),0)</f>
        <v/>
      </c>
      <c r="P42" s="43">
        <f>IF(AND(B42="SELL",D42&gt;0),R42/D42,0)</f>
        <v/>
      </c>
      <c r="Q42" s="44">
        <f>IF(AND(B42="SELL",D42&gt;0,E42&gt;0),(D42/E42)+G42,0)</f>
        <v/>
      </c>
      <c r="R42" s="45">
        <f>IF(B42="SELL",Q42*F42,0)</f>
        <v/>
      </c>
      <c r="S42" s="24">
        <f>S41+R42</f>
        <v/>
      </c>
    </row>
    <row r="43" ht="15.75" customHeight="1" s="94">
      <c r="A43" s="46" t="n">
        <v>42</v>
      </c>
      <c r="B43" s="47" t="inlineStr">
        <is>
          <t>SELL</t>
        </is>
      </c>
      <c r="C43" s="48" t="n">
        <v>45941</v>
      </c>
      <c r="D43" s="49" t="n">
        <v>90000</v>
      </c>
      <c r="E43" s="50" t="n">
        <v>963</v>
      </c>
      <c r="F43" s="50" t="n">
        <v>963</v>
      </c>
      <c r="G43" s="51" t="n">
        <v>-89.25</v>
      </c>
      <c r="H43" s="51" t="n"/>
      <c r="I43" s="30" t="n">
        <v>256.9</v>
      </c>
      <c r="J43" s="51" t="n">
        <v>290.401</v>
      </c>
      <c r="K43" s="52">
        <f>IF(AND(B43="SELL",E43&gt;0,J43&lt;&gt;""),J43/E43,0)</f>
        <v/>
      </c>
      <c r="L43" s="52" t="n">
        <v>0.288</v>
      </c>
      <c r="M43" s="50">
        <f>IF(AND(B43="SELL",L43&gt;0),D43*L43,0)</f>
        <v/>
      </c>
      <c r="N43" s="46" t="inlineStr">
        <is>
          <t>cambio pinky</t>
        </is>
      </c>
      <c r="O43" s="53">
        <f>IF(AND(B43="SELL",G43&lt;&gt;0),Q43/ABS(G43),0)</f>
        <v/>
      </c>
      <c r="P43" s="53">
        <f>IF(AND(B43="SELL",D43&gt;0),R43/D43,0)</f>
        <v/>
      </c>
      <c r="Q43" s="54">
        <f>IF(AND(B43="SELL",D43&gt;0,E43&gt;0),(D43/E43)+G43,0)</f>
        <v/>
      </c>
      <c r="R43" s="55">
        <f>IF(B43="SELL",Q43*F43,0)</f>
        <v/>
      </c>
      <c r="S43" s="35">
        <f>S42+R43</f>
        <v/>
      </c>
    </row>
    <row r="44" ht="15.75" customHeight="1" s="94">
      <c r="A44" s="36" t="n">
        <v>43</v>
      </c>
      <c r="B44" s="37" t="inlineStr">
        <is>
          <t>SELL</t>
        </is>
      </c>
      <c r="C44" s="38" t="n">
        <v>45942</v>
      </c>
      <c r="D44" s="39" t="n">
        <v>40000</v>
      </c>
      <c r="E44" s="40" t="n">
        <v>963</v>
      </c>
      <c r="F44" s="40" t="n">
        <v>963</v>
      </c>
      <c r="G44" s="41" t="n">
        <v>-39.83</v>
      </c>
      <c r="H44" s="41" t="n"/>
      <c r="I44" s="19" t="n">
        <v>442.07</v>
      </c>
      <c r="J44" s="41" t="n">
        <v>288.703</v>
      </c>
      <c r="K44" s="42">
        <f>IF(AND(B44="SELL",E44&gt;0,J44&lt;&gt;""),J44/E44,0)</f>
        <v/>
      </c>
      <c r="L44" s="42" t="n">
        <v>0.2875</v>
      </c>
      <c r="M44" s="40">
        <f>IF(AND(B44="SELL",L44&gt;0),D44*L44,0)</f>
        <v/>
      </c>
      <c r="N44" s="36" t="n"/>
      <c r="O44" s="43">
        <f>IF(AND(B44="SELL",G44&lt;&gt;0),Q44/ABS(G44),0)</f>
        <v/>
      </c>
      <c r="P44" s="43">
        <f>IF(AND(B44="SELL",D44&gt;0),R44/D44,0)</f>
        <v/>
      </c>
      <c r="Q44" s="44">
        <f>IF(AND(B44="SELL",D44&gt;0,E44&gt;0),(D44/E44)+G44,0)</f>
        <v/>
      </c>
      <c r="R44" s="45">
        <f>IF(B44="SELL",Q44*F44,0)</f>
        <v/>
      </c>
      <c r="S44" s="24">
        <f>S43+R44</f>
        <v/>
      </c>
    </row>
    <row r="45" ht="15.75" customHeight="1" s="94">
      <c r="A45" s="46" t="n">
        <v>44</v>
      </c>
      <c r="B45" s="47" t="inlineStr">
        <is>
          <t>SELL</t>
        </is>
      </c>
      <c r="C45" s="48" t="n">
        <v>45942</v>
      </c>
      <c r="D45" s="49" t="n">
        <v>40000</v>
      </c>
      <c r="E45" s="50" t="n">
        <v>963</v>
      </c>
      <c r="F45" s="50" t="n">
        <v>963</v>
      </c>
      <c r="G45" s="51" t="n">
        <v>-39.87</v>
      </c>
      <c r="H45" s="51" t="n"/>
      <c r="I45" s="30" t="n">
        <v>402.2</v>
      </c>
      <c r="J45" s="51" t="n">
        <v>288.4</v>
      </c>
      <c r="K45" s="52">
        <f>IF(AND(B45="SELL",E45&gt;0,J45&lt;&gt;""),J45/E45,0)</f>
        <v/>
      </c>
      <c r="L45" s="52" t="n">
        <v>0.2875</v>
      </c>
      <c r="M45" s="50">
        <f>IF(AND(B45="SELL",L45&gt;0),D45*L45,0)</f>
        <v/>
      </c>
      <c r="N45" s="46" t="n"/>
      <c r="O45" s="53">
        <f>IF(AND(B45="SELL",G45&lt;&gt;0),Q45/ABS(G45),0)</f>
        <v/>
      </c>
      <c r="P45" s="53">
        <f>IF(AND(B45="SELL",D45&gt;0),R45/D45,0)</f>
        <v/>
      </c>
      <c r="Q45" s="54">
        <f>IF(AND(B45="SELL",D45&gt;0,E45&gt;0),(D45/E45)+G45,0)</f>
        <v/>
      </c>
      <c r="R45" s="55">
        <f>IF(B45="SELL",Q45*F45,0)</f>
        <v/>
      </c>
      <c r="S45" s="35">
        <f>S44+R45</f>
        <v/>
      </c>
    </row>
    <row r="46" ht="15.75" customHeight="1" s="94">
      <c r="A46" s="36" t="n">
        <v>45</v>
      </c>
      <c r="B46" s="37" t="inlineStr">
        <is>
          <t>SELL</t>
        </is>
      </c>
      <c r="C46" s="38" t="n">
        <v>45943</v>
      </c>
      <c r="D46" s="39" t="n">
        <v>40000</v>
      </c>
      <c r="E46" s="40" t="n">
        <v>963</v>
      </c>
      <c r="F46" s="40" t="n">
        <v>963</v>
      </c>
      <c r="G46" s="41" t="n">
        <v>-39.63</v>
      </c>
      <c r="H46" s="41" t="n"/>
      <c r="I46" s="19" t="n">
        <v>362.57</v>
      </c>
      <c r="J46" s="41" t="n">
        <v>289.662</v>
      </c>
      <c r="K46" s="42">
        <f>IF(AND(B46="SELL",E46&gt;0,J46&lt;&gt;""),J46/E46,0)</f>
        <v/>
      </c>
      <c r="L46" s="42" t="n">
        <v>0.287</v>
      </c>
      <c r="M46" s="40">
        <f>IF(AND(B46="SELL",L46&gt;0),D46*L46,0)</f>
        <v/>
      </c>
      <c r="N46" s="36" t="n"/>
      <c r="O46" s="43">
        <f>IF(AND(B46="SELL",G46&lt;&gt;0),Q46/ABS(G46),0)</f>
        <v/>
      </c>
      <c r="P46" s="43">
        <f>IF(AND(B46="SELL",D46&gt;0),R46/D46,0)</f>
        <v/>
      </c>
      <c r="Q46" s="44">
        <f>IF(AND(B46="SELL",D46&gt;0,E46&gt;0),(D46/E46)+G46,0)</f>
        <v/>
      </c>
      <c r="R46" s="45">
        <f>IF(B46="SELL",Q46*F46,0)</f>
        <v/>
      </c>
      <c r="S46" s="24">
        <f>S45+R46</f>
        <v/>
      </c>
    </row>
    <row r="47" ht="15.75" customHeight="1" s="94">
      <c r="A47" s="46" t="n">
        <v>46</v>
      </c>
      <c r="B47" s="47" t="inlineStr">
        <is>
          <t>SELL</t>
        </is>
      </c>
      <c r="C47" s="48" t="n">
        <v>45943</v>
      </c>
      <c r="D47" s="49" t="n">
        <v>25000</v>
      </c>
      <c r="E47" s="50" t="n">
        <v>963</v>
      </c>
      <c r="F47" s="50" t="n">
        <v>963</v>
      </c>
      <c r="G47" s="51" t="n">
        <v>-24.69</v>
      </c>
      <c r="H47" s="51" t="n"/>
      <c r="I47" s="30" t="n">
        <v>337.88</v>
      </c>
      <c r="J47" s="51" t="n">
        <v>290.57</v>
      </c>
      <c r="K47" s="52">
        <f>IF(AND(B47="SELL",E47&gt;0,J47&lt;&gt;""),J47/E47,0)</f>
        <v/>
      </c>
      <c r="L47" s="52" t="n">
        <v>0.287</v>
      </c>
      <c r="M47" s="50">
        <f>IF(AND(B47="SELL",L47&gt;0),D47*L47,0)</f>
        <v/>
      </c>
      <c r="N47" s="46" t="n"/>
      <c r="O47" s="53">
        <f>IF(AND(B47="SELL",G47&lt;&gt;0),Q47/ABS(G47),0)</f>
        <v/>
      </c>
      <c r="P47" s="53">
        <f>IF(AND(B47="SELL",D47&gt;0),R47/D47,0)</f>
        <v/>
      </c>
      <c r="Q47" s="54">
        <f>IF(AND(B47="SELL",D47&gt;0,E47&gt;0),(D47/E47)+G47,0)</f>
        <v/>
      </c>
      <c r="R47" s="55">
        <f>IF(B47="SELL",Q47*F47,0)</f>
        <v/>
      </c>
      <c r="S47" s="35">
        <f>S46+R47</f>
        <v/>
      </c>
    </row>
    <row r="48" ht="15.75" customHeight="1" s="94">
      <c r="A48" s="36" t="n">
        <v>47</v>
      </c>
      <c r="B48" s="37" t="inlineStr">
        <is>
          <t>SELL</t>
        </is>
      </c>
      <c r="C48" s="38" t="n">
        <v>45943</v>
      </c>
      <c r="D48" s="39" t="n">
        <v>25000</v>
      </c>
      <c r="E48" s="40" t="n">
        <v>963</v>
      </c>
      <c r="F48" s="40" t="n">
        <v>963</v>
      </c>
      <c r="G48" s="41" t="n">
        <v>-24.41</v>
      </c>
      <c r="H48" s="41" t="n"/>
      <c r="I48" s="19" t="n">
        <v>313.47</v>
      </c>
      <c r="J48" s="41" t="n">
        <v>293.8565</v>
      </c>
      <c r="K48" s="42">
        <f>IF(AND(B48="SELL",E48&gt;0,J48&lt;&gt;""),J48/E48,0)</f>
        <v/>
      </c>
      <c r="L48" s="42" t="n">
        <v>0.287</v>
      </c>
      <c r="M48" s="40">
        <f>IF(AND(B48="SELL",L48&gt;0),D48*L48,0)</f>
        <v/>
      </c>
      <c r="N48" s="36" t="n"/>
      <c r="O48" s="43">
        <f>IF(AND(B48="SELL",G48&lt;&gt;0),Q48/ABS(G48),0)</f>
        <v/>
      </c>
      <c r="P48" s="43">
        <f>IF(AND(B48="SELL",D48&gt;0),R48/D48,0)</f>
        <v/>
      </c>
      <c r="Q48" s="44">
        <f>IF(AND(B48="SELL",D48&gt;0,E48&gt;0),(D48/E48)+G48,0)</f>
        <v/>
      </c>
      <c r="R48" s="45">
        <f>IF(B48="SELL",Q48*F48,0)</f>
        <v/>
      </c>
      <c r="S48" s="24">
        <f>S47+R48</f>
        <v/>
      </c>
    </row>
    <row r="49" ht="15.75" customHeight="1" s="94">
      <c r="A49" s="46" t="n">
        <v>48</v>
      </c>
      <c r="B49" s="47" t="inlineStr">
        <is>
          <t>SELL</t>
        </is>
      </c>
      <c r="C49" s="48" t="n">
        <v>45944</v>
      </c>
      <c r="D49" s="49" t="n">
        <v>35100</v>
      </c>
      <c r="E49" s="50" t="n">
        <v>963</v>
      </c>
      <c r="F49" s="50" t="n">
        <v>963</v>
      </c>
      <c r="G49" s="51" t="n">
        <v>-34.31</v>
      </c>
      <c r="H49" s="51" t="n"/>
      <c r="I49" s="30" t="n">
        <v>279.16</v>
      </c>
      <c r="J49" s="51" t="n">
        <v>294.5</v>
      </c>
      <c r="K49" s="52">
        <f>IF(AND(B49="SELL",E49&gt;0,J49&lt;&gt;""),J49/E49,0)</f>
        <v/>
      </c>
      <c r="L49" s="52" t="n">
        <v>0.288</v>
      </c>
      <c r="M49" s="50">
        <f>IF(AND(B49="SELL",L49&gt;0),D49*L49,0)</f>
        <v/>
      </c>
      <c r="N49" s="46" t="n"/>
      <c r="O49" s="53">
        <f>IF(AND(B49="SELL",G49&lt;&gt;0),Q49/ABS(G49),0)</f>
        <v/>
      </c>
      <c r="P49" s="53">
        <f>IF(AND(B49="SELL",D49&gt;0),R49/D49,0)</f>
        <v/>
      </c>
      <c r="Q49" s="54">
        <f>IF(AND(B49="SELL",D49&gt;0,E49&gt;0),(D49/E49)+G49,0)</f>
        <v/>
      </c>
      <c r="R49" s="55">
        <f>IF(B49="SELL",Q49*F49,0)</f>
        <v/>
      </c>
      <c r="S49" s="35">
        <f>S48+R49</f>
        <v/>
      </c>
    </row>
    <row r="50" ht="15.75" customHeight="1" s="94">
      <c r="A50" s="36" t="n">
        <v>49</v>
      </c>
      <c r="B50" s="37" t="inlineStr">
        <is>
          <t>SELL</t>
        </is>
      </c>
      <c r="C50" s="38" t="n">
        <v>45944</v>
      </c>
      <c r="D50" s="39" t="n">
        <v>383500</v>
      </c>
      <c r="E50" s="40" t="n">
        <v>963</v>
      </c>
      <c r="F50" s="40" t="n">
        <v>963</v>
      </c>
      <c r="G50" s="41" t="n">
        <v>-379</v>
      </c>
      <c r="H50" s="41" t="n"/>
      <c r="I50" s="19" t="n">
        <v>-99.8399999999998</v>
      </c>
      <c r="J50" s="41" t="n">
        <v>3.43</v>
      </c>
      <c r="K50" s="42">
        <f>IF(AND(B50="SELL",E50&gt;0,J50&lt;&gt;""),J50/E50,0)</f>
        <v/>
      </c>
      <c r="L50" s="42" t="n">
        <v>0.00339</v>
      </c>
      <c r="M50" s="40">
        <f>IF(AND(B50="SELL",L50&gt;0),D50*L50,0)</f>
        <v/>
      </c>
      <c r="N50" s="36" t="inlineStr">
        <is>
          <t>cambio a soles</t>
        </is>
      </c>
      <c r="O50" s="43">
        <f>IF(AND(B50="SELL",G50&lt;&gt;0),Q50/ABS(G50),0)</f>
        <v/>
      </c>
      <c r="P50" s="43">
        <f>IF(AND(B50="SELL",D50&gt;0),R50/D50,0)</f>
        <v/>
      </c>
      <c r="Q50" s="44">
        <f>IF(AND(B50="SELL",D50&gt;0,E50&gt;0),(D50/E50)+G50,0)</f>
        <v/>
      </c>
      <c r="R50" s="45">
        <f>IF(B50="SELL",Q50*F50,0)</f>
        <v/>
      </c>
      <c r="S50" s="24">
        <f>S49+R50</f>
        <v/>
      </c>
    </row>
    <row r="51" ht="15.75" customHeight="1" s="94">
      <c r="A51" s="46" t="n">
        <v>50</v>
      </c>
      <c r="B51" s="47" t="inlineStr">
        <is>
          <t>SELL</t>
        </is>
      </c>
      <c r="C51" s="48" t="n">
        <v>45944</v>
      </c>
      <c r="D51" s="49" t="n">
        <v>20000</v>
      </c>
      <c r="E51" s="50" t="n">
        <v>963</v>
      </c>
      <c r="F51" s="50" t="n">
        <v>963</v>
      </c>
      <c r="G51" s="51" t="n">
        <v>-19.72</v>
      </c>
      <c r="H51" s="51" t="n"/>
      <c r="I51" s="30" t="n">
        <v>-119.56</v>
      </c>
      <c r="J51" s="51" t="n">
        <v>292</v>
      </c>
      <c r="K51" s="52">
        <f>IF(AND(B51="SELL",E51&gt;0,J51&lt;&gt;""),J51/E51,0)</f>
        <v/>
      </c>
      <c r="L51" s="52" t="n">
        <v>0.288</v>
      </c>
      <c r="M51" s="50">
        <f>IF(AND(B51="SELL",L51&gt;0),D51*L51,0)</f>
        <v/>
      </c>
      <c r="N51" s="46" t="n"/>
      <c r="O51" s="53">
        <f>IF(AND(B51="SELL",G51&lt;&gt;0),Q51/ABS(G51),0)</f>
        <v/>
      </c>
      <c r="P51" s="53">
        <f>IF(AND(B51="SELL",D51&gt;0),R51/D51,0)</f>
        <v/>
      </c>
      <c r="Q51" s="54">
        <f>IF(AND(B51="SELL",D51&gt;0,E51&gt;0),(D51/E51)+G51,0)</f>
        <v/>
      </c>
      <c r="R51" s="55">
        <f>IF(B51="SELL",Q51*F51,0)</f>
        <v/>
      </c>
      <c r="S51" s="35">
        <f>S50+R51</f>
        <v/>
      </c>
    </row>
    <row r="52" ht="15.75" customHeight="1" s="94">
      <c r="A52" s="14" t="n">
        <v>51</v>
      </c>
      <c r="B52" s="15" t="inlineStr">
        <is>
          <t>BUY</t>
        </is>
      </c>
      <c r="C52" s="16" t="n">
        <v>45944</v>
      </c>
      <c r="D52" s="17" t="n">
        <v>1200000</v>
      </c>
      <c r="E52" s="18" t="n">
        <v>965</v>
      </c>
      <c r="F52" s="18" t="n">
        <v>965</v>
      </c>
      <c r="G52" s="19" t="n">
        <v>1243.36</v>
      </c>
      <c r="H52" s="19" t="n"/>
      <c r="I52" s="19" t="n">
        <v>1123.8</v>
      </c>
      <c r="J52" s="19" t="n"/>
      <c r="K52" s="20">
        <f>IF(AND(B52="SELL",E52&gt;0,J52&lt;&gt;""),J52/E52,0)</f>
        <v/>
      </c>
      <c r="L52" s="20" t="n"/>
      <c r="M52" s="18">
        <f>IF(AND(B52="SELL",L52&gt;0),D52*L52,0)</f>
        <v/>
      </c>
      <c r="N52" s="14" t="n"/>
      <c r="O52" s="21">
        <f>IF(AND(B52="SELL",G52&lt;&gt;0),Q52/ABS(G52),0)</f>
        <v/>
      </c>
      <c r="P52" s="21">
        <f>IF(AND(B52="SELL",D52&gt;0),R52/D52,0)</f>
        <v/>
      </c>
      <c r="Q52" s="22">
        <f>IF(AND(B52="SELL",D52&gt;0,E52&gt;0),(D52/E52)+G52,0)</f>
        <v/>
      </c>
      <c r="R52" s="23">
        <f>IF(B52="SELL",Q52*F52,0)</f>
        <v/>
      </c>
      <c r="S52" s="24">
        <f>S51+R52</f>
        <v/>
      </c>
    </row>
    <row r="53" ht="15.75" customHeight="1" s="94">
      <c r="A53" s="46" t="n">
        <v>52</v>
      </c>
      <c r="B53" s="47" t="inlineStr">
        <is>
          <t>SELL</t>
        </is>
      </c>
      <c r="C53" s="48" t="n">
        <v>45944</v>
      </c>
      <c r="D53" s="49" t="n">
        <v>20000</v>
      </c>
      <c r="E53" s="50" t="n">
        <v>965</v>
      </c>
      <c r="F53" s="50" t="n">
        <v>965</v>
      </c>
      <c r="G53" s="51" t="n">
        <v>-19.65</v>
      </c>
      <c r="H53" s="51" t="n"/>
      <c r="I53" s="30" t="n">
        <v>1104.15</v>
      </c>
      <c r="J53" s="51" t="n">
        <v>293</v>
      </c>
      <c r="K53" s="52">
        <f>IF(AND(B53="SELL",E53&gt;0,J53&lt;&gt;""),J53/E53,0)</f>
        <v/>
      </c>
      <c r="L53" s="52" t="n">
        <v>0.288</v>
      </c>
      <c r="M53" s="50">
        <f>IF(AND(B53="SELL",L53&gt;0),D53*L53,0)</f>
        <v/>
      </c>
      <c r="N53" s="46" t="n"/>
      <c r="O53" s="53">
        <f>IF(AND(B53="SELL",G53&lt;&gt;0),Q53/ABS(G53),0)</f>
        <v/>
      </c>
      <c r="P53" s="53">
        <f>IF(AND(B53="SELL",D53&gt;0),R53/D53,0)</f>
        <v/>
      </c>
      <c r="Q53" s="54">
        <f>IF(AND(B53="SELL",D53&gt;0,E53&gt;0),(D53/E53)+G53,0)</f>
        <v/>
      </c>
      <c r="R53" s="55">
        <f>IF(B53="SELL",Q53*F53,0)</f>
        <v/>
      </c>
      <c r="S53" s="35">
        <f>S52+R53</f>
        <v/>
      </c>
    </row>
    <row r="54" ht="15.75" customHeight="1" s="94">
      <c r="A54" s="36" t="n">
        <v>53</v>
      </c>
      <c r="B54" s="37" t="inlineStr">
        <is>
          <t>SELL</t>
        </is>
      </c>
      <c r="C54" s="38" t="n">
        <v>45945</v>
      </c>
      <c r="D54" s="39" t="n">
        <v>80000</v>
      </c>
      <c r="E54" s="40" t="n">
        <v>965</v>
      </c>
      <c r="F54" s="40" t="n">
        <v>965</v>
      </c>
      <c r="G54" s="41" t="n">
        <v>-78.45</v>
      </c>
      <c r="H54" s="41" t="n"/>
      <c r="I54" s="19" t="n">
        <v>1025.7</v>
      </c>
      <c r="J54" s="41" t="n">
        <v>289.6</v>
      </c>
      <c r="K54" s="42">
        <f>IF(AND(B54="SELL",E54&gt;0,J54&lt;&gt;""),J54/E54,0)</f>
        <v/>
      </c>
      <c r="L54" s="42" t="n">
        <v>0.284</v>
      </c>
      <c r="M54" s="40">
        <f>IF(AND(B54="SELL",L54&gt;0),D54*L54,0)</f>
        <v/>
      </c>
      <c r="N54" s="36" t="n"/>
      <c r="O54" s="43">
        <f>IF(AND(B54="SELL",G54&lt;&gt;0),Q54/ABS(G54),0)</f>
        <v/>
      </c>
      <c r="P54" s="43">
        <f>IF(AND(B54="SELL",D54&gt;0),R54/D54,0)</f>
        <v/>
      </c>
      <c r="Q54" s="44">
        <f>IF(AND(B54="SELL",D54&gt;0,E54&gt;0),(D54/E54)+G54,0)</f>
        <v/>
      </c>
      <c r="R54" s="45">
        <f>IF(B54="SELL",Q54*F54,0)</f>
        <v/>
      </c>
      <c r="S54" s="24">
        <f>S53+R54</f>
        <v/>
      </c>
    </row>
    <row r="55" ht="15.75" customHeight="1" s="94">
      <c r="A55" s="46" t="n">
        <v>54</v>
      </c>
      <c r="B55" s="47" t="inlineStr">
        <is>
          <t>SELL</t>
        </is>
      </c>
      <c r="C55" s="48" t="n">
        <v>45945</v>
      </c>
      <c r="D55" s="49" t="n">
        <v>40000</v>
      </c>
      <c r="E55" s="50" t="n">
        <v>965</v>
      </c>
      <c r="F55" s="50" t="n">
        <v>965</v>
      </c>
      <c r="G55" s="51" t="n">
        <v>-39.3</v>
      </c>
      <c r="H55" s="51" t="n"/>
      <c r="I55" s="30" t="n">
        <v>986.4</v>
      </c>
      <c r="J55" s="51" t="n">
        <v>289.04</v>
      </c>
      <c r="K55" s="52">
        <f>IF(AND(B55="SELL",E55&gt;0,J55&lt;&gt;""),J55/E55,0)</f>
        <v/>
      </c>
      <c r="L55" s="52" t="n">
        <v>0.284</v>
      </c>
      <c r="M55" s="50">
        <f>IF(AND(B55="SELL",L55&gt;0),D55*L55,0)</f>
        <v/>
      </c>
      <c r="N55" s="46" t="n"/>
      <c r="O55" s="53">
        <f>IF(AND(B55="SELL",G55&lt;&gt;0),Q55/ABS(G55),0)</f>
        <v/>
      </c>
      <c r="P55" s="53">
        <f>IF(AND(B55="SELL",D55&gt;0),R55/D55,0)</f>
        <v/>
      </c>
      <c r="Q55" s="54">
        <f>IF(AND(B55="SELL",D55&gt;0,E55&gt;0),(D55/E55)+G55,0)</f>
        <v/>
      </c>
      <c r="R55" s="55">
        <f>IF(B55="SELL",Q55*F55,0)</f>
        <v/>
      </c>
      <c r="S55" s="35">
        <f>S54+R55</f>
        <v/>
      </c>
    </row>
    <row r="56" ht="15.75" customHeight="1" s="94">
      <c r="A56" s="36" t="n">
        <v>55</v>
      </c>
      <c r="B56" s="37" t="inlineStr">
        <is>
          <t>SELL</t>
        </is>
      </c>
      <c r="C56" s="38" t="n">
        <v>45945</v>
      </c>
      <c r="D56" s="39" t="n">
        <v>50000</v>
      </c>
      <c r="E56" s="40" t="n">
        <v>965</v>
      </c>
      <c r="F56" s="40" t="n">
        <v>965</v>
      </c>
      <c r="G56" s="41" t="n">
        <v>-49.04</v>
      </c>
      <c r="H56" s="41" t="n"/>
      <c r="I56" s="19" t="n">
        <v>937.36</v>
      </c>
      <c r="J56" s="41" t="n">
        <v>289.535</v>
      </c>
      <c r="K56" s="42">
        <f>IF(AND(B56="SELL",E56&gt;0,J56&lt;&gt;""),J56/E56,0)</f>
        <v/>
      </c>
      <c r="L56" s="42" t="n">
        <v>0.284</v>
      </c>
      <c r="M56" s="40">
        <f>IF(AND(B56="SELL",L56&gt;0),D56*L56,0)</f>
        <v/>
      </c>
      <c r="N56" s="36" t="n"/>
      <c r="O56" s="43">
        <f>IF(AND(B56="SELL",G56&lt;&gt;0),Q56/ABS(G56),0)</f>
        <v/>
      </c>
      <c r="P56" s="43">
        <f>IF(AND(B56="SELL",D56&gt;0),R56/D56,0)</f>
        <v/>
      </c>
      <c r="Q56" s="44">
        <f>IF(AND(B56="SELL",D56&gt;0,E56&gt;0),(D56/E56)+G56,0)</f>
        <v/>
      </c>
      <c r="R56" s="45">
        <f>IF(B56="SELL",Q56*F56,0)</f>
        <v/>
      </c>
      <c r="S56" s="24">
        <f>S55+R56</f>
        <v/>
      </c>
    </row>
    <row r="57" ht="15.75" customHeight="1" s="94">
      <c r="A57" s="46" t="n">
        <v>56</v>
      </c>
      <c r="B57" s="47" t="inlineStr">
        <is>
          <t>SELL</t>
        </is>
      </c>
      <c r="C57" s="48" t="n">
        <v>45946</v>
      </c>
      <c r="D57" s="49" t="n">
        <v>70000</v>
      </c>
      <c r="E57" s="50" t="n">
        <v>965</v>
      </c>
      <c r="F57" s="50" t="n">
        <v>965</v>
      </c>
      <c r="G57" s="51" t="n">
        <v>-68.19</v>
      </c>
      <c r="H57" s="51" t="n"/>
      <c r="I57" s="30" t="n">
        <v>869.17</v>
      </c>
      <c r="J57" s="51" t="n">
        <v>292.529</v>
      </c>
      <c r="K57" s="52">
        <f>IF(AND(B57="SELL",E57&gt;0,J57&lt;&gt;""),J57/E57,0)</f>
        <v/>
      </c>
      <c r="L57" s="52" t="n">
        <v>0.285</v>
      </c>
      <c r="M57" s="50">
        <f>IF(AND(B57="SELL",L57&gt;0),D57*L57,0)</f>
        <v/>
      </c>
      <c r="N57" s="46" t="n"/>
      <c r="O57" s="53">
        <f>IF(AND(B57="SELL",G57&lt;&gt;0),Q57/ABS(G57),0)</f>
        <v/>
      </c>
      <c r="P57" s="53">
        <f>IF(AND(B57="SELL",D57&gt;0),R57/D57,0)</f>
        <v/>
      </c>
      <c r="Q57" s="54">
        <f>IF(AND(B57="SELL",D57&gt;0,E57&gt;0),(D57/E57)+G57,0)</f>
        <v/>
      </c>
      <c r="R57" s="55">
        <f>IF(B57="SELL",Q57*F57,0)</f>
        <v/>
      </c>
      <c r="S57" s="35">
        <f>S56+R57</f>
        <v/>
      </c>
    </row>
    <row r="58" ht="15.75" customHeight="1" s="94">
      <c r="A58" s="36" t="n">
        <v>57</v>
      </c>
      <c r="B58" s="37" t="inlineStr">
        <is>
          <t>SELL</t>
        </is>
      </c>
      <c r="C58" s="38" t="n">
        <v>45946</v>
      </c>
      <c r="D58" s="39" t="n">
        <v>5000</v>
      </c>
      <c r="E58" s="40" t="n">
        <v>965</v>
      </c>
      <c r="F58" s="40" t="n">
        <v>965</v>
      </c>
      <c r="G58" s="41" t="n">
        <v>-4.96</v>
      </c>
      <c r="H58" s="41" t="n"/>
      <c r="I58" s="19" t="n">
        <v>864.21</v>
      </c>
      <c r="J58" s="41" t="n">
        <v>287</v>
      </c>
      <c r="K58" s="42">
        <f>IF(AND(B58="SELL",E58&gt;0,J58&lt;&gt;""),J58/E58,0)</f>
        <v/>
      </c>
      <c r="L58" s="42" t="n">
        <v>0.285</v>
      </c>
      <c r="M58" s="40">
        <f>IF(AND(B58="SELL",L58&gt;0),D58*L58,0)</f>
        <v/>
      </c>
      <c r="N58" s="36" t="n"/>
      <c r="O58" s="43">
        <f>IF(AND(B58="SELL",G58&lt;&gt;0),Q58/ABS(G58),0)</f>
        <v/>
      </c>
      <c r="P58" s="43">
        <f>IF(AND(B58="SELL",D58&gt;0),R58/D58,0)</f>
        <v/>
      </c>
      <c r="Q58" s="44">
        <f>IF(AND(B58="SELL",D58&gt;0,E58&gt;0),(D58/E58)+G58,0)</f>
        <v/>
      </c>
      <c r="R58" s="45">
        <f>IF(B58="SELL",Q58*F58,0)</f>
        <v/>
      </c>
      <c r="S58" s="24">
        <f>S57+R58</f>
        <v/>
      </c>
    </row>
    <row r="59" ht="15.75" customHeight="1" s="94">
      <c r="A59" s="46" t="n">
        <v>58</v>
      </c>
      <c r="B59" s="47" t="inlineStr">
        <is>
          <t>SELL</t>
        </is>
      </c>
      <c r="C59" s="48" t="n">
        <v>45946</v>
      </c>
      <c r="D59" s="49" t="n">
        <v>100000</v>
      </c>
      <c r="E59" s="50" t="n">
        <v>965</v>
      </c>
      <c r="F59" s="50" t="n">
        <v>965</v>
      </c>
      <c r="G59" s="51" t="n">
        <v>-96.16</v>
      </c>
      <c r="H59" s="51" t="n"/>
      <c r="I59" s="30" t="n">
        <v>768.05</v>
      </c>
      <c r="J59" s="51" t="n">
        <v>296.364</v>
      </c>
      <c r="K59" s="52">
        <f>IF(AND(B59="SELL",E59&gt;0,J59&lt;&gt;""),J59/E59,0)</f>
        <v/>
      </c>
      <c r="L59" s="52" t="n">
        <v>0.285</v>
      </c>
      <c r="M59" s="50">
        <f>IF(AND(B59="SELL",L59&gt;0),D59*L59,0)</f>
        <v/>
      </c>
      <c r="N59" s="46" t="n"/>
      <c r="O59" s="53">
        <f>IF(AND(B59="SELL",G59&lt;&gt;0),Q59/ABS(G59),0)</f>
        <v/>
      </c>
      <c r="P59" s="53">
        <f>IF(AND(B59="SELL",D59&gt;0),R59/D59,0)</f>
        <v/>
      </c>
      <c r="Q59" s="54">
        <f>IF(AND(B59="SELL",D59&gt;0,E59&gt;0),(D59/E59)+G59,0)</f>
        <v/>
      </c>
      <c r="R59" s="55">
        <f>IF(B59="SELL",Q59*F59,0)</f>
        <v/>
      </c>
      <c r="S59" s="35">
        <f>S58+R59</f>
        <v/>
      </c>
    </row>
    <row r="60" ht="15.75" customHeight="1" s="94">
      <c r="A60" s="36" t="n">
        <v>59</v>
      </c>
      <c r="B60" s="37" t="inlineStr">
        <is>
          <t>SELL</t>
        </is>
      </c>
      <c r="C60" s="38" t="n">
        <v>45946</v>
      </c>
      <c r="D60" s="39" t="n">
        <v>40000</v>
      </c>
      <c r="E60" s="40" t="n">
        <v>965</v>
      </c>
      <c r="F60" s="40" t="n">
        <v>965</v>
      </c>
      <c r="G60" s="41" t="n">
        <v>-39.27</v>
      </c>
      <c r="H60" s="41" t="n"/>
      <c r="I60" s="19" t="n">
        <v>728.78</v>
      </c>
      <c r="J60" s="41" t="n">
        <v>290.252</v>
      </c>
      <c r="K60" s="42">
        <f>IF(AND(B60="SELL",E60&gt;0,J60&lt;&gt;""),J60/E60,0)</f>
        <v/>
      </c>
      <c r="L60" s="42" t="n">
        <v>0.285</v>
      </c>
      <c r="M60" s="40">
        <f>IF(AND(B60="SELL",L60&gt;0),D60*L60,0)</f>
        <v/>
      </c>
      <c r="N60" s="36" t="n"/>
      <c r="O60" s="43">
        <f>IF(AND(B60="SELL",G60&lt;&gt;0),Q60/ABS(G60),0)</f>
        <v/>
      </c>
      <c r="P60" s="43">
        <f>IF(AND(B60="SELL",D60&gt;0),R60/D60,0)</f>
        <v/>
      </c>
      <c r="Q60" s="44">
        <f>IF(AND(B60="SELL",D60&gt;0,E60&gt;0),(D60/E60)+G60,0)</f>
        <v/>
      </c>
      <c r="R60" s="45">
        <f>IF(B60="SELL",Q60*F60,0)</f>
        <v/>
      </c>
      <c r="S60" s="24">
        <f>S59+R60</f>
        <v/>
      </c>
    </row>
    <row r="61" ht="15.75" customHeight="1" s="94">
      <c r="A61" s="46" t="n">
        <v>60</v>
      </c>
      <c r="B61" s="47" t="inlineStr">
        <is>
          <t>SELL</t>
        </is>
      </c>
      <c r="C61" s="48" t="n">
        <v>45946</v>
      </c>
      <c r="D61" s="49" t="n">
        <v>90000</v>
      </c>
      <c r="E61" s="50" t="n">
        <v>965</v>
      </c>
      <c r="F61" s="50" t="n">
        <v>965</v>
      </c>
      <c r="G61" s="51" t="n">
        <v>-89.16</v>
      </c>
      <c r="H61" s="51" t="n"/>
      <c r="I61" s="30" t="n">
        <v>639.62</v>
      </c>
      <c r="J61" s="51" t="n">
        <v>287.67</v>
      </c>
      <c r="K61" s="52">
        <f>IF(AND(B61="SELL",E61&gt;0,J61&lt;&gt;""),J61/E61,0)</f>
        <v/>
      </c>
      <c r="L61" s="52" t="n">
        <v>0.285</v>
      </c>
      <c r="M61" s="50">
        <f>IF(AND(B61="SELL",L61&gt;0),D61*L61,0)</f>
        <v/>
      </c>
      <c r="N61" s="46" t="n"/>
      <c r="O61" s="53">
        <f>IF(AND(B61="SELL",G61&lt;&gt;0),Q61/ABS(G61),0)</f>
        <v/>
      </c>
      <c r="P61" s="53">
        <f>IF(AND(B61="SELL",D61&gt;0),R61/D61,0)</f>
        <v/>
      </c>
      <c r="Q61" s="54">
        <f>IF(AND(B61="SELL",D61&gt;0,E61&gt;0),(D61/E61)+G61,0)</f>
        <v/>
      </c>
      <c r="R61" s="55">
        <f>IF(B61="SELL",Q61*F61,0)</f>
        <v/>
      </c>
      <c r="S61" s="35">
        <f>S60+R61</f>
        <v/>
      </c>
    </row>
    <row r="62" ht="15.75" customHeight="1" s="94">
      <c r="A62" s="36" t="n">
        <v>61</v>
      </c>
      <c r="B62" s="37" t="inlineStr">
        <is>
          <t>SELL</t>
        </is>
      </c>
      <c r="C62" s="38" t="n">
        <v>45947</v>
      </c>
      <c r="D62" s="39" t="n">
        <v>107000</v>
      </c>
      <c r="E62" s="40" t="n">
        <v>965</v>
      </c>
      <c r="F62" s="40" t="n">
        <v>965</v>
      </c>
      <c r="G62" s="41" t="n">
        <v>-105.38</v>
      </c>
      <c r="H62" s="41" t="n"/>
      <c r="I62" s="19" t="n">
        <v>534.24</v>
      </c>
      <c r="J62" s="41" t="n">
        <v>294.45</v>
      </c>
      <c r="K62" s="42">
        <f>IF(AND(B62="SELL",E62&gt;0,J62&lt;&gt;""),J62/E62,0)</f>
        <v/>
      </c>
      <c r="L62" s="42" t="n">
        <v>0.29</v>
      </c>
      <c r="M62" s="40">
        <f>IF(AND(B62="SELL",L62&gt;0),D62*L62,0)</f>
        <v/>
      </c>
      <c r="N62" s="36" t="n"/>
      <c r="O62" s="43">
        <f>IF(AND(B62="SELL",G62&lt;&gt;0),Q62/ABS(G62),0)</f>
        <v/>
      </c>
      <c r="P62" s="43">
        <f>IF(AND(B62="SELL",D62&gt;0),R62/D62,0)</f>
        <v/>
      </c>
      <c r="Q62" s="44">
        <f>IF(AND(B62="SELL",D62&gt;0,E62&gt;0),(D62/E62)+G62,0)</f>
        <v/>
      </c>
      <c r="R62" s="45">
        <f>IF(B62="SELL",Q62*F62,0)</f>
        <v/>
      </c>
      <c r="S62" s="24">
        <f>S61+R62</f>
        <v/>
      </c>
    </row>
    <row r="63" ht="15.75" customHeight="1" s="94">
      <c r="A63" s="46" t="n">
        <v>62</v>
      </c>
      <c r="B63" s="47" t="inlineStr">
        <is>
          <t>SELL</t>
        </is>
      </c>
      <c r="C63" s="48" t="n">
        <v>45947</v>
      </c>
      <c r="D63" s="49" t="n">
        <v>65000</v>
      </c>
      <c r="E63" s="50" t="n">
        <v>965</v>
      </c>
      <c r="F63" s="50" t="n">
        <v>965</v>
      </c>
      <c r="G63" s="51" t="n">
        <v>-65.75</v>
      </c>
      <c r="H63" s="51" t="n"/>
      <c r="I63" s="30" t="n">
        <v>468.49</v>
      </c>
      <c r="J63" s="51" t="n">
        <v>292</v>
      </c>
      <c r="K63" s="52">
        <f>IF(AND(B63="SELL",E63&gt;0,J63&lt;&gt;""),J63/E63,0)</f>
        <v/>
      </c>
      <c r="L63" s="52" t="n">
        <v>0.29</v>
      </c>
      <c r="M63" s="50">
        <f>IF(AND(B63="SELL",L63&gt;0),D63*L63,0)</f>
        <v/>
      </c>
      <c r="N63" s="46" t="n"/>
      <c r="O63" s="53">
        <f>IF(AND(B63="SELL",G63&lt;&gt;0),Q63/ABS(G63),0)</f>
        <v/>
      </c>
      <c r="P63" s="53">
        <f>IF(AND(B63="SELL",D63&gt;0),R63/D63,0)</f>
        <v/>
      </c>
      <c r="Q63" s="54">
        <f>IF(AND(B63="SELL",D63&gt;0,E63&gt;0),(D63/E63)+G63,0)</f>
        <v/>
      </c>
      <c r="R63" s="55">
        <f>IF(B63="SELL",Q63*F63,0)</f>
        <v/>
      </c>
      <c r="S63" s="35">
        <f>S62+R63</f>
        <v/>
      </c>
    </row>
    <row r="64" ht="15.75" customHeight="1" s="94">
      <c r="A64" s="36" t="n">
        <v>63</v>
      </c>
      <c r="B64" s="37" t="inlineStr">
        <is>
          <t>SELL</t>
        </is>
      </c>
      <c r="C64" s="38" t="n">
        <v>45947</v>
      </c>
      <c r="D64" s="39" t="n">
        <v>10000</v>
      </c>
      <c r="E64" s="40" t="n">
        <v>965</v>
      </c>
      <c r="F64" s="40" t="n">
        <v>965</v>
      </c>
      <c r="G64" s="41" t="n">
        <v>-10.5</v>
      </c>
      <c r="H64" s="41" t="n"/>
      <c r="I64" s="19" t="n">
        <v>457.99</v>
      </c>
      <c r="J64" s="41" t="n">
        <v>276.11</v>
      </c>
      <c r="K64" s="42">
        <f>IF(AND(B64="SELL",E64&gt;0,J64&lt;&gt;""),J64/E64,0)</f>
        <v/>
      </c>
      <c r="L64" s="42" t="n">
        <v>0.29</v>
      </c>
      <c r="M64" s="40">
        <f>IF(AND(B64="SELL",L64&gt;0),D64*L64,0)</f>
        <v/>
      </c>
      <c r="N64" s="36" t="n"/>
      <c r="O64" s="43">
        <f>IF(AND(B64="SELL",G64&lt;&gt;0),Q64/ABS(G64),0)</f>
        <v/>
      </c>
      <c r="P64" s="43">
        <f>IF(AND(B64="SELL",D64&gt;0),R64/D64,0)</f>
        <v/>
      </c>
      <c r="Q64" s="44">
        <f>IF(AND(B64="SELL",D64&gt;0,E64&gt;0),(D64/E64)+G64,0)</f>
        <v/>
      </c>
      <c r="R64" s="45">
        <f>IF(B64="SELL",Q64*F64,0)</f>
        <v/>
      </c>
      <c r="S64" s="24">
        <f>S63+R64</f>
        <v/>
      </c>
    </row>
    <row r="65" ht="15.75" customHeight="1" s="94">
      <c r="A65" s="46" t="n">
        <v>64</v>
      </c>
      <c r="B65" s="47" t="inlineStr">
        <is>
          <t>SELL</t>
        </is>
      </c>
      <c r="C65" s="48" t="n">
        <v>45947</v>
      </c>
      <c r="D65" s="49" t="n">
        <v>50000</v>
      </c>
      <c r="E65" s="50" t="n">
        <v>965</v>
      </c>
      <c r="F65" s="50" t="n">
        <v>965</v>
      </c>
      <c r="G65" s="51" t="n">
        <v>-49.59</v>
      </c>
      <c r="H65" s="51" t="n"/>
      <c r="I65" s="30" t="n">
        <v>408.4</v>
      </c>
      <c r="J65" s="51" t="n">
        <v>292.36</v>
      </c>
      <c r="K65" s="52">
        <f>IF(AND(B65="SELL",E65&gt;0,J65&lt;&gt;""),J65/E65,0)</f>
        <v/>
      </c>
      <c r="L65" s="52" t="n">
        <v>0.29</v>
      </c>
      <c r="M65" s="50">
        <f>IF(AND(B65="SELL",L65&gt;0),D65*L65,0)</f>
        <v/>
      </c>
      <c r="N65" s="46" t="n"/>
      <c r="O65" s="53">
        <f>IF(AND(B65="SELL",G65&lt;&gt;0),Q65/ABS(G65),0)</f>
        <v/>
      </c>
      <c r="P65" s="53">
        <f>IF(AND(B65="SELL",D65&gt;0),R65/D65,0)</f>
        <v/>
      </c>
      <c r="Q65" s="54">
        <f>IF(AND(B65="SELL",D65&gt;0,E65&gt;0),(D65/E65)+G65,0)</f>
        <v/>
      </c>
      <c r="R65" s="55">
        <f>IF(B65="SELL",Q65*F65,0)</f>
        <v/>
      </c>
      <c r="S65" s="35">
        <f>S64+R65</f>
        <v/>
      </c>
    </row>
    <row r="66" ht="15.75" customHeight="1" s="94">
      <c r="A66" s="36" t="n">
        <v>65</v>
      </c>
      <c r="B66" s="37" t="inlineStr">
        <is>
          <t>SELL</t>
        </is>
      </c>
      <c r="C66" s="38" t="n">
        <v>45950</v>
      </c>
      <c r="D66" s="39" t="n">
        <v>110000</v>
      </c>
      <c r="E66" s="40" t="n">
        <v>965</v>
      </c>
      <c r="F66" s="40" t="n">
        <v>965</v>
      </c>
      <c r="G66" s="41" t="n">
        <v>-106.1</v>
      </c>
      <c r="H66" s="41" t="n"/>
      <c r="I66" s="19" t="n">
        <v>302.3</v>
      </c>
      <c r="J66" s="41" t="n">
        <v>303.76</v>
      </c>
      <c r="K66" s="42">
        <f>IF(AND(B66="SELL",E66&gt;0,J66&lt;&gt;""),J66/E66,0)</f>
        <v/>
      </c>
      <c r="L66" s="42" t="n">
        <v>0.293</v>
      </c>
      <c r="M66" s="40">
        <f>IF(AND(B66="SELL",L66&gt;0),D66*L66,0)</f>
        <v/>
      </c>
      <c r="N66" s="36" t="n"/>
      <c r="O66" s="43">
        <f>IF(AND(B66="SELL",G66&lt;&gt;0),Q66/ABS(G66),0)</f>
        <v/>
      </c>
      <c r="P66" s="43">
        <f>IF(AND(B66="SELL",D66&gt;0),R66/D66,0)</f>
        <v/>
      </c>
      <c r="Q66" s="44">
        <f>IF(AND(B66="SELL",D66&gt;0,E66&gt;0),(D66/E66)+G66,0)</f>
        <v/>
      </c>
      <c r="R66" s="45">
        <f>IF(B66="SELL",Q66*F66,0)</f>
        <v/>
      </c>
      <c r="S66" s="24">
        <f>S65+R66</f>
        <v/>
      </c>
    </row>
    <row r="67" ht="15.75" customHeight="1" s="94">
      <c r="A67" s="46" t="n">
        <v>66</v>
      </c>
      <c r="B67" s="47" t="inlineStr">
        <is>
          <t>SELL</t>
        </is>
      </c>
      <c r="C67" s="48" t="n">
        <v>45951</v>
      </c>
      <c r="D67" s="49" t="n">
        <v>20000</v>
      </c>
      <c r="E67" s="50" t="n">
        <v>965</v>
      </c>
      <c r="F67" s="50" t="n">
        <v>965</v>
      </c>
      <c r="G67" s="51" t="n">
        <v>-19.65</v>
      </c>
      <c r="H67" s="51" t="n"/>
      <c r="I67" s="30" t="n">
        <v>282.65</v>
      </c>
      <c r="J67" s="51" t="n">
        <v>300.251</v>
      </c>
      <c r="K67" s="52">
        <f>IF(AND(B67="SELL",E67&gt;0,J67&lt;&gt;""),J67/E67,0)</f>
        <v/>
      </c>
      <c r="L67" s="52" t="n">
        <v>0.295</v>
      </c>
      <c r="M67" s="50">
        <f>IF(AND(B67="SELL",L67&gt;0),D67*L67,0)</f>
        <v/>
      </c>
      <c r="N67" s="46" t="n"/>
      <c r="O67" s="53">
        <f>IF(AND(B67="SELL",G67&lt;&gt;0),Q67/ABS(G67),0)</f>
        <v/>
      </c>
      <c r="P67" s="53">
        <f>IF(AND(B67="SELL",D67&gt;0),R67/D67,0)</f>
        <v/>
      </c>
      <c r="Q67" s="54">
        <f>IF(AND(B67="SELL",D67&gt;0,E67&gt;0),(D67/E67)+G67,0)</f>
        <v/>
      </c>
      <c r="R67" s="55">
        <f>IF(B67="SELL",Q67*F67,0)</f>
        <v/>
      </c>
      <c r="S67" s="35">
        <f>S66+R67</f>
        <v/>
      </c>
    </row>
    <row r="68" ht="15.75" customHeight="1" s="94">
      <c r="A68" s="36" t="n">
        <v>67</v>
      </c>
      <c r="B68" s="37" t="inlineStr">
        <is>
          <t>SELL</t>
        </is>
      </c>
      <c r="C68" s="38" t="n">
        <v>45952</v>
      </c>
      <c r="D68" s="39" t="n">
        <v>52400</v>
      </c>
      <c r="E68" s="40" t="n">
        <v>965</v>
      </c>
      <c r="F68" s="40" t="n">
        <v>965</v>
      </c>
      <c r="G68" s="41" t="n">
        <v>-51.48</v>
      </c>
      <c r="H68" s="41" t="n"/>
      <c r="I68" s="19" t="n">
        <v>231.17</v>
      </c>
      <c r="J68" s="41" t="n">
        <v>303.002</v>
      </c>
      <c r="K68" s="42">
        <f>IF(AND(B68="SELL",E68&gt;0,J68&lt;&gt;""),J68/E68,0)</f>
        <v/>
      </c>
      <c r="L68" s="42" t="n">
        <v>0.2975</v>
      </c>
      <c r="M68" s="40">
        <f>IF(AND(B68="SELL",L68&gt;0),D68*L68,0)</f>
        <v/>
      </c>
      <c r="N68" s="36" t="n"/>
      <c r="O68" s="43">
        <f>IF(AND(B68="SELL",G68&lt;&gt;0),Q68/ABS(G68),0)</f>
        <v/>
      </c>
      <c r="P68" s="43">
        <f>IF(AND(B68="SELL",D68&gt;0),R68/D68,0)</f>
        <v/>
      </c>
      <c r="Q68" s="44">
        <f>IF(AND(B68="SELL",D68&gt;0,E68&gt;0),(D68/E68)+G68,0)</f>
        <v/>
      </c>
      <c r="R68" s="45">
        <f>IF(B68="SELL",Q68*F68,0)</f>
        <v/>
      </c>
      <c r="S68" s="24">
        <f>S67+R68</f>
        <v/>
      </c>
    </row>
    <row r="69" ht="15.75" customHeight="1" s="94">
      <c r="A69" s="25" t="n">
        <v>68</v>
      </c>
      <c r="B69" s="26" t="inlineStr">
        <is>
          <t>BUY</t>
        </is>
      </c>
      <c r="C69" s="27" t="n">
        <v>45952</v>
      </c>
      <c r="D69" s="28" t="n">
        <v>1000000</v>
      </c>
      <c r="E69" s="29" t="n">
        <v>953.8</v>
      </c>
      <c r="F69" s="29" t="n">
        <v>953.8</v>
      </c>
      <c r="G69" s="30" t="n">
        <v>1048.3</v>
      </c>
      <c r="H69" s="30" t="n"/>
      <c r="I69" s="30" t="n">
        <v>1279.47</v>
      </c>
      <c r="J69" s="30" t="n"/>
      <c r="K69" s="31">
        <f>IF(AND(B69="SELL",E69&gt;0,J69&lt;&gt;""),J69/E69,0)</f>
        <v/>
      </c>
      <c r="L69" s="31" t="n"/>
      <c r="M69" s="29">
        <f>IF(AND(B69="SELL",L69&gt;0),D69*L69,0)</f>
        <v/>
      </c>
      <c r="N69" s="25" t="n"/>
      <c r="O69" s="32">
        <f>IF(AND(B69="SELL",G69&lt;&gt;0),Q69/ABS(G69),0)</f>
        <v/>
      </c>
      <c r="P69" s="32">
        <f>IF(AND(B69="SELL",D69&gt;0),R69/D69,0)</f>
        <v/>
      </c>
      <c r="Q69" s="33">
        <f>IF(AND(B69="SELL",D69&gt;0,E69&gt;0),(D69/E69)+G69,0)</f>
        <v/>
      </c>
      <c r="R69" s="34">
        <f>IF(B69="SELL",Q69*F69,0)</f>
        <v/>
      </c>
      <c r="S69" s="35">
        <f>S68+R69</f>
        <v/>
      </c>
    </row>
    <row r="70" ht="15.75" customHeight="1" s="94">
      <c r="A70" s="36" t="n">
        <v>69</v>
      </c>
      <c r="B70" s="37" t="inlineStr">
        <is>
          <t>SELL</t>
        </is>
      </c>
      <c r="C70" s="38" t="n">
        <v>45952</v>
      </c>
      <c r="D70" s="39" t="n">
        <v>25000</v>
      </c>
      <c r="E70" s="40" t="n">
        <v>953.8</v>
      </c>
      <c r="F70" s="40" t="n">
        <v>953.8</v>
      </c>
      <c r="G70" s="41" t="n">
        <v>-24.91</v>
      </c>
      <c r="H70" s="41" t="n"/>
      <c r="I70" s="19" t="n">
        <v>1254.56</v>
      </c>
      <c r="J70" s="41" t="n">
        <v>301.24</v>
      </c>
      <c r="K70" s="42">
        <f>IF(AND(B70="SELL",E70&gt;0,J70&lt;&gt;""),J70/E70,0)</f>
        <v/>
      </c>
      <c r="L70" s="42" t="n">
        <v>0.3</v>
      </c>
      <c r="M70" s="40">
        <f>IF(AND(B70="SELL",L70&gt;0),D70*L70,0)</f>
        <v/>
      </c>
      <c r="N70" s="36" t="n"/>
      <c r="O70" s="43">
        <f>IF(AND(B70="SELL",G70&lt;&gt;0),Q70/ABS(G70),0)</f>
        <v/>
      </c>
      <c r="P70" s="43">
        <f>IF(AND(B70="SELL",D70&gt;0),R70/D70,0)</f>
        <v/>
      </c>
      <c r="Q70" s="44">
        <f>IF(AND(B70="SELL",D70&gt;0,E70&gt;0),(D70/E70)+G70,0)</f>
        <v/>
      </c>
      <c r="R70" s="45">
        <f>IF(B70="SELL",Q70*F70,0)</f>
        <v/>
      </c>
      <c r="S70" s="24">
        <f>S69+R70</f>
        <v/>
      </c>
    </row>
    <row r="71" ht="15.75" customHeight="1" s="94">
      <c r="A71" s="46" t="n">
        <v>70</v>
      </c>
      <c r="B71" s="47" t="inlineStr">
        <is>
          <t>SELL</t>
        </is>
      </c>
      <c r="C71" s="48" t="n">
        <v>45953</v>
      </c>
      <c r="D71" s="49" t="n">
        <v>40000</v>
      </c>
      <c r="E71" s="50" t="n">
        <v>953.8</v>
      </c>
      <c r="F71" s="50" t="n">
        <v>953.8</v>
      </c>
      <c r="G71" s="51" t="n">
        <v>-39.8</v>
      </c>
      <c r="H71" s="51" t="n"/>
      <c r="I71" s="30" t="n">
        <v>1214.76</v>
      </c>
      <c r="J71" s="51" t="n">
        <v>302.5</v>
      </c>
      <c r="K71" s="52">
        <f>IF(AND(B71="SELL",E71&gt;0,J71&lt;&gt;""),J71/E71,0)</f>
        <v/>
      </c>
      <c r="L71" s="52" t="n">
        <v>0.301</v>
      </c>
      <c r="M71" s="50">
        <f>IF(AND(B71="SELL",L71&gt;0),D71*L71,0)</f>
        <v/>
      </c>
      <c r="N71" s="46" t="n"/>
      <c r="O71" s="53">
        <f>IF(AND(B71="SELL",G71&lt;&gt;0),Q71/ABS(G71),0)</f>
        <v/>
      </c>
      <c r="P71" s="53">
        <f>IF(AND(B71="SELL",D71&gt;0),R71/D71,0)</f>
        <v/>
      </c>
      <c r="Q71" s="54">
        <f>IF(AND(B71="SELL",D71&gt;0,E71&gt;0),(D71/E71)+G71,0)</f>
        <v/>
      </c>
      <c r="R71" s="55">
        <f>IF(B71="SELL",Q71*F71,0)</f>
        <v/>
      </c>
      <c r="S71" s="35">
        <f>S70+R71</f>
        <v/>
      </c>
    </row>
    <row r="72" ht="15.75" customHeight="1" s="94">
      <c r="A72" s="36" t="n">
        <v>71</v>
      </c>
      <c r="B72" s="37" t="inlineStr">
        <is>
          <t>SELL</t>
        </is>
      </c>
      <c r="C72" s="38" t="n">
        <v>45953</v>
      </c>
      <c r="D72" s="39" t="n">
        <v>10000</v>
      </c>
      <c r="E72" s="40" t="n">
        <v>953.8</v>
      </c>
      <c r="F72" s="40" t="n">
        <v>953.8</v>
      </c>
      <c r="G72" s="41" t="n">
        <v>-10.01</v>
      </c>
      <c r="H72" s="41" t="n"/>
      <c r="I72" s="19" t="n">
        <v>1204.75</v>
      </c>
      <c r="J72" s="41" t="n">
        <v>299.6</v>
      </c>
      <c r="K72" s="42">
        <f>IF(AND(B72="SELL",E72&gt;0,J72&lt;&gt;""),J72/E72,0)</f>
        <v/>
      </c>
      <c r="L72" s="42" t="n">
        <v>0.301</v>
      </c>
      <c r="M72" s="40">
        <f>IF(AND(B72="SELL",L72&gt;0),D72*L72,0)</f>
        <v/>
      </c>
      <c r="N72" s="36" t="inlineStr">
        <is>
          <t>cambio para el papa de paula</t>
        </is>
      </c>
      <c r="O72" s="43">
        <f>IF(AND(B72="SELL",G72&lt;&gt;0),Q72/ABS(G72),0)</f>
        <v/>
      </c>
      <c r="P72" s="43">
        <f>IF(AND(B72="SELL",D72&gt;0),R72/D72,0)</f>
        <v/>
      </c>
      <c r="Q72" s="44">
        <f>IF(AND(B72="SELL",D72&gt;0,E72&gt;0),(D72/E72)+G72,0)</f>
        <v/>
      </c>
      <c r="R72" s="45">
        <f>IF(B72="SELL",Q72*F72,0)</f>
        <v/>
      </c>
      <c r="S72" s="24">
        <f>S71+R72</f>
        <v/>
      </c>
    </row>
    <row r="73" ht="15.75" customHeight="1" s="94">
      <c r="A73" s="46" t="n">
        <v>72</v>
      </c>
      <c r="B73" s="47" t="inlineStr">
        <is>
          <t>SELL</t>
        </is>
      </c>
      <c r="C73" s="48" t="n">
        <v>45953</v>
      </c>
      <c r="D73" s="49" t="n">
        <v>340000</v>
      </c>
      <c r="E73" s="50" t="n">
        <v>953.8</v>
      </c>
      <c r="F73" s="50" t="n">
        <v>953.8</v>
      </c>
      <c r="G73" s="51" t="n">
        <v>-326.35</v>
      </c>
      <c r="H73" s="51" t="n"/>
      <c r="I73" s="30" t="n">
        <v>878.4</v>
      </c>
      <c r="J73" s="51" t="n">
        <v>18.44</v>
      </c>
      <c r="K73" s="52">
        <f>IF(AND(B73="SELL",E73&gt;0,J73&lt;&gt;""),J73/E73,0)</f>
        <v/>
      </c>
      <c r="L73" s="52" t="n">
        <v>0.0177</v>
      </c>
      <c r="M73" s="50">
        <f>IF(AND(B73="SELL",L73&gt;0),D73*L73,0)</f>
        <v/>
      </c>
      <c r="N73" s="46" t="inlineStr">
        <is>
          <t>cambio a MXN</t>
        </is>
      </c>
      <c r="O73" s="53">
        <f>IF(AND(B73="SELL",G73&lt;&gt;0),Q73/ABS(G73),0)</f>
        <v/>
      </c>
      <c r="P73" s="53">
        <f>IF(AND(B73="SELL",D73&gt;0),R73/D73,0)</f>
        <v/>
      </c>
      <c r="Q73" s="54">
        <f>IF(AND(B73="SELL",D73&gt;0,E73&gt;0),(D73/E73)+G73,0)</f>
        <v/>
      </c>
      <c r="R73" s="55">
        <f>IF(B73="SELL",Q73*F73,0)</f>
        <v/>
      </c>
      <c r="S73" s="35">
        <f>S72+R73</f>
        <v/>
      </c>
    </row>
    <row r="74" ht="15.75" customHeight="1" s="94">
      <c r="A74" s="36" t="n">
        <v>73</v>
      </c>
      <c r="B74" s="37" t="inlineStr">
        <is>
          <t>SELL</t>
        </is>
      </c>
      <c r="C74" s="38" t="n">
        <v>45954</v>
      </c>
      <c r="D74" s="39" t="n">
        <v>15000</v>
      </c>
      <c r="E74" s="40" t="n">
        <v>953.8</v>
      </c>
      <c r="F74" s="40" t="n">
        <v>953.8</v>
      </c>
      <c r="G74" s="41" t="n">
        <v>-15.1</v>
      </c>
      <c r="H74" s="41" t="n"/>
      <c r="I74" s="19" t="n">
        <v>863.3</v>
      </c>
      <c r="J74" s="41" t="n">
        <v>299</v>
      </c>
      <c r="K74" s="42">
        <f>IF(AND(B74="SELL",E74&gt;0,J74&lt;&gt;""),J74/E74,0)</f>
        <v/>
      </c>
      <c r="L74" s="42" t="n">
        <v>0.301</v>
      </c>
      <c r="M74" s="40">
        <f>IF(AND(B74="SELL",L74&gt;0),D74*L74,0)</f>
        <v/>
      </c>
      <c r="N74" s="36" t="n"/>
      <c r="O74" s="43">
        <f>IF(AND(B74="SELL",G74&lt;&gt;0),Q74/ABS(G74),0)</f>
        <v/>
      </c>
      <c r="P74" s="43">
        <f>IF(AND(B74="SELL",D74&gt;0),R74/D74,0)</f>
        <v/>
      </c>
      <c r="Q74" s="44">
        <f>IF(AND(B74="SELL",D74&gt;0,E74&gt;0),(D74/E74)+G74,0)</f>
        <v/>
      </c>
      <c r="R74" s="45">
        <f>IF(B74="SELL",Q74*F74,0)</f>
        <v/>
      </c>
      <c r="S74" s="24">
        <f>S73+R74</f>
        <v/>
      </c>
    </row>
    <row r="75" ht="15.75" customHeight="1" s="94">
      <c r="A75" s="46" t="n">
        <v>74</v>
      </c>
      <c r="B75" s="47" t="inlineStr">
        <is>
          <t>SELL</t>
        </is>
      </c>
      <c r="C75" s="48" t="n">
        <v>45954</v>
      </c>
      <c r="D75" s="49" t="n">
        <v>20000</v>
      </c>
      <c r="E75" s="50" t="n">
        <v>953.8</v>
      </c>
      <c r="F75" s="50" t="n">
        <v>953.8</v>
      </c>
      <c r="G75" s="51" t="n">
        <v>-19.94</v>
      </c>
      <c r="H75" s="51" t="n"/>
      <c r="I75" s="30" t="n">
        <v>843.36</v>
      </c>
      <c r="J75" s="51" t="n">
        <v>301.08</v>
      </c>
      <c r="K75" s="52">
        <f>IF(AND(B75="SELL",E75&gt;0,J75&lt;&gt;""),J75/E75,0)</f>
        <v/>
      </c>
      <c r="L75" s="52" t="n">
        <v>0.301</v>
      </c>
      <c r="M75" s="50">
        <f>IF(AND(B75="SELL",L75&gt;0),D75*L75,0)</f>
        <v/>
      </c>
      <c r="N75" s="46" t="n"/>
      <c r="O75" s="53">
        <f>IF(AND(B75="SELL",G75&lt;&gt;0),Q75/ABS(G75),0)</f>
        <v/>
      </c>
      <c r="P75" s="53">
        <f>IF(AND(B75="SELL",D75&gt;0),R75/D75,0)</f>
        <v/>
      </c>
      <c r="Q75" s="54">
        <f>IF(AND(B75="SELL",D75&gt;0,E75&gt;0),(D75/E75)+G75,0)</f>
        <v/>
      </c>
      <c r="R75" s="55">
        <f>IF(B75="SELL",Q75*F75,0)</f>
        <v/>
      </c>
      <c r="S75" s="35">
        <f>S74+R75</f>
        <v/>
      </c>
    </row>
    <row r="76" ht="15.75" customHeight="1" s="94">
      <c r="A76" s="36" t="n">
        <v>75</v>
      </c>
      <c r="B76" s="37" t="inlineStr">
        <is>
          <t>SELL</t>
        </is>
      </c>
      <c r="C76" s="38" t="n">
        <v>45954</v>
      </c>
      <c r="D76" s="39" t="n">
        <v>50000</v>
      </c>
      <c r="E76" s="40" t="n">
        <v>953.8</v>
      </c>
      <c r="F76" s="40" t="n">
        <v>953.8</v>
      </c>
      <c r="G76" s="41" t="n">
        <v>-49.74</v>
      </c>
      <c r="H76" s="41" t="n"/>
      <c r="I76" s="19" t="n">
        <v>793.62</v>
      </c>
      <c r="J76" s="41" t="n">
        <v>302.53</v>
      </c>
      <c r="K76" s="42">
        <f>IF(AND(B76="SELL",E76&gt;0,J76&lt;&gt;""),J76/E76,0)</f>
        <v/>
      </c>
      <c r="L76" s="42" t="n">
        <v>0.301</v>
      </c>
      <c r="M76" s="40">
        <f>IF(AND(B76="SELL",L76&gt;0),D76*L76,0)</f>
        <v/>
      </c>
      <c r="N76" s="36" t="n"/>
      <c r="O76" s="43">
        <f>IF(AND(B76="SELL",G76&lt;&gt;0),Q76/ABS(G76),0)</f>
        <v/>
      </c>
      <c r="P76" s="43">
        <f>IF(AND(B76="SELL",D76&gt;0),R76/D76,0)</f>
        <v/>
      </c>
      <c r="Q76" s="44">
        <f>IF(AND(B76="SELL",D76&gt;0,E76&gt;0),(D76/E76)+G76,0)</f>
        <v/>
      </c>
      <c r="R76" s="45">
        <f>IF(B76="SELL",Q76*F76,0)</f>
        <v/>
      </c>
      <c r="S76" s="24">
        <f>S75+R76</f>
        <v/>
      </c>
    </row>
    <row r="77" ht="15.75" customHeight="1" s="94">
      <c r="A77" s="46" t="n">
        <v>76</v>
      </c>
      <c r="B77" s="47" t="inlineStr">
        <is>
          <t>SELL</t>
        </is>
      </c>
      <c r="C77" s="48" t="n">
        <v>45955</v>
      </c>
      <c r="D77" s="49" t="n">
        <v>72000</v>
      </c>
      <c r="E77" s="50" t="n">
        <v>953.8</v>
      </c>
      <c r="F77" s="50" t="n">
        <v>953.8</v>
      </c>
      <c r="G77" s="51" t="n">
        <v>-71.53</v>
      </c>
      <c r="H77" s="51" t="n"/>
      <c r="I77" s="30" t="n">
        <v>722.09</v>
      </c>
      <c r="J77" s="51" t="n">
        <v>301.8</v>
      </c>
      <c r="K77" s="52">
        <f>IF(AND(B77="SELL",E77&gt;0,J77&lt;&gt;""),J77/E77,0)</f>
        <v/>
      </c>
      <c r="L77" s="52" t="n">
        <v>0.2998</v>
      </c>
      <c r="M77" s="50">
        <f>IF(AND(B77="SELL",L77&gt;0),D77*L77,0)</f>
        <v/>
      </c>
      <c r="N77" s="46" t="n"/>
      <c r="O77" s="53">
        <f>IF(AND(B77="SELL",G77&lt;&gt;0),Q77/ABS(G77),0)</f>
        <v/>
      </c>
      <c r="P77" s="53">
        <f>IF(AND(B77="SELL",D77&gt;0),R77/D77,0)</f>
        <v/>
      </c>
      <c r="Q77" s="54">
        <f>IF(AND(B77="SELL",D77&gt;0,E77&gt;0),(D77/E77)+G77,0)</f>
        <v/>
      </c>
      <c r="R77" s="55">
        <f>IF(B77="SELL",Q77*F77,0)</f>
        <v/>
      </c>
      <c r="S77" s="35">
        <f>S76+R77</f>
        <v/>
      </c>
    </row>
    <row r="78" ht="15.75" customHeight="1" s="94">
      <c r="A78" s="36" t="n">
        <v>77</v>
      </c>
      <c r="B78" s="37" t="inlineStr">
        <is>
          <t>SELL</t>
        </is>
      </c>
      <c r="C78" s="38" t="n">
        <v>45956</v>
      </c>
      <c r="D78" s="39" t="n">
        <v>20000</v>
      </c>
      <c r="E78" s="40" t="n">
        <v>953.8</v>
      </c>
      <c r="F78" s="40" t="n">
        <v>953.8</v>
      </c>
      <c r="G78" s="41" t="n">
        <v>-20.4</v>
      </c>
      <c r="H78" s="41" t="n"/>
      <c r="I78" s="19" t="n">
        <v>701.6900000000001</v>
      </c>
      <c r="J78" s="41" t="n">
        <v>297.905</v>
      </c>
      <c r="K78" s="42">
        <f>IF(AND(B78="SELL",E78&gt;0,J78&lt;&gt;""),J78/E78,0)</f>
        <v/>
      </c>
      <c r="L78" s="42" t="n">
        <v>0.304</v>
      </c>
      <c r="M78" s="40">
        <f>IF(AND(B78="SELL",L78&gt;0),D78*L78,0)</f>
        <v/>
      </c>
      <c r="N78" s="36" t="n"/>
      <c r="O78" s="43">
        <f>IF(AND(B78="SELL",G78&lt;&gt;0),Q78/ABS(G78),0)</f>
        <v/>
      </c>
      <c r="P78" s="43">
        <f>IF(AND(B78="SELL",D78&gt;0),R78/D78,0)</f>
        <v/>
      </c>
      <c r="Q78" s="44">
        <f>IF(AND(B78="SELL",D78&gt;0,E78&gt;0),(D78/E78)+G78,0)</f>
        <v/>
      </c>
      <c r="R78" s="45">
        <f>IF(B78="SELL",Q78*F78,0)</f>
        <v/>
      </c>
      <c r="S78" s="24">
        <f>S77+R78</f>
        <v/>
      </c>
    </row>
    <row r="79" ht="15.75" customHeight="1" s="94">
      <c r="A79" s="46" t="n">
        <v>78</v>
      </c>
      <c r="B79" s="47" t="inlineStr">
        <is>
          <t>SELL</t>
        </is>
      </c>
      <c r="C79" s="48" t="n">
        <v>45957</v>
      </c>
      <c r="D79" s="49" t="n">
        <v>14500</v>
      </c>
      <c r="E79" s="50" t="n">
        <v>953.8</v>
      </c>
      <c r="F79" s="50" t="n">
        <v>953.8</v>
      </c>
      <c r="G79" s="51" t="n">
        <v>-14.79</v>
      </c>
      <c r="H79" s="51" t="n"/>
      <c r="I79" s="30" t="n">
        <v>812.9</v>
      </c>
      <c r="J79" s="51" t="n">
        <v>297.001</v>
      </c>
      <c r="K79" s="52">
        <f>IF(AND(B79="SELL",E79&gt;0,J79&lt;&gt;""),J79/E79,0)</f>
        <v/>
      </c>
      <c r="L79" s="52" t="n">
        <v>0.303</v>
      </c>
      <c r="M79" s="50">
        <f>IF(AND(B79="SELL",L79&gt;0),D79*L79,0)</f>
        <v/>
      </c>
      <c r="N79" s="46" t="n"/>
      <c r="O79" s="53">
        <f>IF(AND(B79="SELL",G79&lt;&gt;0),Q79/ABS(G79),0)</f>
        <v/>
      </c>
      <c r="P79" s="53">
        <f>IF(AND(B79="SELL",D79&gt;0),R79/D79,0)</f>
        <v/>
      </c>
      <c r="Q79" s="54">
        <f>IF(AND(B79="SELL",D79&gt;0,E79&gt;0),(D79/E79)+G79,0)</f>
        <v/>
      </c>
      <c r="R79" s="55">
        <f>IF(B79="SELL",Q79*F79,0)</f>
        <v/>
      </c>
      <c r="S79" s="35">
        <f>S78+R79</f>
        <v/>
      </c>
    </row>
    <row r="80" ht="15.75" customHeight="1" s="94">
      <c r="A80" s="36" t="n">
        <v>79</v>
      </c>
      <c r="B80" s="37" t="inlineStr">
        <is>
          <t>SELL</t>
        </is>
      </c>
      <c r="C80" s="38" t="n">
        <v>45957</v>
      </c>
      <c r="D80" s="39" t="n">
        <v>25000</v>
      </c>
      <c r="E80" s="40" t="n">
        <v>953.8</v>
      </c>
      <c r="F80" s="40" t="n">
        <v>953.8</v>
      </c>
      <c r="G80" s="41" t="n">
        <v>-25.3</v>
      </c>
      <c r="H80" s="41" t="n"/>
      <c r="I80" s="19" t="n">
        <v>787.6</v>
      </c>
      <c r="J80" s="41" t="n">
        <v>299.36</v>
      </c>
      <c r="K80" s="42">
        <f>IF(AND(B80="SELL",E80&gt;0,J80&lt;&gt;""),J80/E80,0)</f>
        <v/>
      </c>
      <c r="L80" s="42" t="n">
        <v>0.303</v>
      </c>
      <c r="M80" s="40">
        <f>IF(AND(B80="SELL",L80&gt;0),D80*L80,0)</f>
        <v/>
      </c>
      <c r="N80" s="36" t="n"/>
      <c r="O80" s="43">
        <f>IF(AND(B80="SELL",G80&lt;&gt;0),Q80/ABS(G80),0)</f>
        <v/>
      </c>
      <c r="P80" s="43">
        <f>IF(AND(B80="SELL",D80&gt;0),R80/D80,0)</f>
        <v/>
      </c>
      <c r="Q80" s="44">
        <f>IF(AND(B80="SELL",D80&gt;0,E80&gt;0),(D80/E80)+G80,0)</f>
        <v/>
      </c>
      <c r="R80" s="45">
        <f>IF(B80="SELL",Q80*F80,0)</f>
        <v/>
      </c>
      <c r="S80" s="24">
        <f>S79+R80</f>
        <v/>
      </c>
    </row>
    <row r="81" ht="15.75" customHeight="1" s="94">
      <c r="A81" s="46" t="n">
        <v>80</v>
      </c>
      <c r="B81" s="47" t="inlineStr">
        <is>
          <t>SELL</t>
        </is>
      </c>
      <c r="C81" s="48" t="n">
        <v>45957</v>
      </c>
      <c r="D81" s="49" t="n">
        <v>151500</v>
      </c>
      <c r="E81" s="50" t="n">
        <v>953.8</v>
      </c>
      <c r="F81" s="50" t="n">
        <v>953.8</v>
      </c>
      <c r="G81" s="51" t="n">
        <v>-149.85</v>
      </c>
      <c r="H81" s="51" t="n"/>
      <c r="I81" s="30" t="n">
        <v>637.75</v>
      </c>
      <c r="J81" s="51" t="n">
        <v>1.001</v>
      </c>
      <c r="K81" s="52">
        <f>IF(AND(B81="SELL",E81&gt;0,J81&lt;&gt;""),J81/E81,0)</f>
        <v/>
      </c>
      <c r="L81" s="52" t="n">
        <v>0.0009959999999999999</v>
      </c>
      <c r="M81" s="50">
        <f>IF(AND(B81="SELL",L81&gt;0),D81*L81,0)</f>
        <v/>
      </c>
      <c r="N81" s="46" t="n"/>
      <c r="O81" s="53">
        <f>IF(AND(B81="SELL",G81&lt;&gt;0),Q81/ABS(G81),0)</f>
        <v/>
      </c>
      <c r="P81" s="53">
        <f>IF(AND(B81="SELL",D81&gt;0),R81/D81,0)</f>
        <v/>
      </c>
      <c r="Q81" s="54">
        <f>IF(AND(B81="SELL",D81&gt;0,E81&gt;0),(D81/E81)+G81,0)</f>
        <v/>
      </c>
      <c r="R81" s="55">
        <f>IF(B81="SELL",Q81*F81,0)</f>
        <v/>
      </c>
      <c r="S81" s="35">
        <f>S80+R81</f>
        <v/>
      </c>
    </row>
    <row r="82" ht="15.75" customHeight="1" s="94">
      <c r="A82" s="36" t="n">
        <v>81</v>
      </c>
      <c r="B82" s="37" t="inlineStr">
        <is>
          <t>SELL</t>
        </is>
      </c>
      <c r="C82" s="38" t="n">
        <v>45958</v>
      </c>
      <c r="D82" s="39" t="n">
        <v>20000</v>
      </c>
      <c r="E82" s="40" t="n">
        <v>953.8</v>
      </c>
      <c r="F82" s="40" t="n">
        <v>953.8</v>
      </c>
      <c r="G82" s="41" t="n">
        <v>-20.08</v>
      </c>
      <c r="H82" s="41" t="n"/>
      <c r="I82" s="19" t="n">
        <v>617.67</v>
      </c>
      <c r="J82" s="41" t="n">
        <v>306.771</v>
      </c>
      <c r="K82" s="42">
        <f>IF(AND(B82="SELL",E82&gt;0,J82&lt;&gt;""),J82/E82,0)</f>
        <v/>
      </c>
      <c r="L82" s="42" t="n">
        <v>0.308</v>
      </c>
      <c r="M82" s="40">
        <f>IF(AND(B82="SELL",L82&gt;0),D82*L82,0)</f>
        <v/>
      </c>
      <c r="N82" s="36" t="n"/>
      <c r="O82" s="43">
        <f>IF(AND(B82="SELL",G82&lt;&gt;0),Q82/ABS(G82),0)</f>
        <v/>
      </c>
      <c r="P82" s="43">
        <f>IF(AND(B82="SELL",D82&gt;0),R82/D82,0)</f>
        <v/>
      </c>
      <c r="Q82" s="44">
        <f>IF(AND(B82="SELL",D82&gt;0,E82&gt;0),(D82/E82)+G82,0)</f>
        <v/>
      </c>
      <c r="R82" s="45">
        <f>IF(B82="SELL",Q82*F82,0)</f>
        <v/>
      </c>
      <c r="S82" s="24">
        <f>S81+R82</f>
        <v/>
      </c>
    </row>
    <row r="83" ht="15.75" customHeight="1" s="94">
      <c r="A83" s="46" t="n">
        <v>82</v>
      </c>
      <c r="B83" s="47" t="inlineStr">
        <is>
          <t>SELL</t>
        </is>
      </c>
      <c r="C83" s="48" t="n">
        <v>45958</v>
      </c>
      <c r="D83" s="49" t="n">
        <v>200000</v>
      </c>
      <c r="E83" s="50" t="n">
        <v>953.8</v>
      </c>
      <c r="F83" s="50" t="n">
        <v>953.8</v>
      </c>
      <c r="G83" s="51" t="n">
        <v>-200.06</v>
      </c>
      <c r="H83" s="51" t="n"/>
      <c r="I83" s="30" t="n">
        <v>417.61</v>
      </c>
      <c r="J83" s="51" t="n">
        <v>308.75</v>
      </c>
      <c r="K83" s="52">
        <f>IF(AND(B83="SELL",E83&gt;0,J83&lt;&gt;""),J83/E83,0)</f>
        <v/>
      </c>
      <c r="L83" s="52" t="n">
        <v>0.308</v>
      </c>
      <c r="M83" s="50">
        <f>IF(AND(B83="SELL",L83&gt;0),D83*L83,0)</f>
        <v/>
      </c>
      <c r="N83" s="46" t="n"/>
      <c r="O83" s="53">
        <f>IF(AND(B83="SELL",G83&lt;&gt;0),Q83/ABS(G83),0)</f>
        <v/>
      </c>
      <c r="P83" s="53">
        <f>IF(AND(B83="SELL",D83&gt;0),R83/D83,0)</f>
        <v/>
      </c>
      <c r="Q83" s="54">
        <f>IF(AND(B83="SELL",D83&gt;0,E83&gt;0),(D83/E83)+G83,0)</f>
        <v/>
      </c>
      <c r="R83" s="55">
        <f>IF(B83="SELL",Q83*F83,0)</f>
        <v/>
      </c>
      <c r="S83" s="35">
        <f>S82+R83</f>
        <v/>
      </c>
    </row>
    <row r="84" ht="15.75" customHeight="1" s="94">
      <c r="A84" s="36" t="n">
        <v>83</v>
      </c>
      <c r="B84" s="37" t="inlineStr">
        <is>
          <t>SELL</t>
        </is>
      </c>
      <c r="C84" s="38" t="n">
        <v>45958</v>
      </c>
      <c r="D84" s="39" t="n">
        <v>25000</v>
      </c>
      <c r="E84" s="40" t="n">
        <v>953.8</v>
      </c>
      <c r="F84" s="40" t="n">
        <v>953.8</v>
      </c>
      <c r="G84" s="41" t="n">
        <v>-25.07</v>
      </c>
      <c r="H84" s="41" t="n"/>
      <c r="I84" s="19" t="n">
        <v>392.54</v>
      </c>
      <c r="J84" s="41" t="n">
        <v>307.022</v>
      </c>
      <c r="K84" s="42">
        <f>IF(AND(B84="SELL",E84&gt;0,J84&lt;&gt;""),J84/E84,0)</f>
        <v/>
      </c>
      <c r="L84" s="42" t="n">
        <v>0.308</v>
      </c>
      <c r="M84" s="40">
        <f>IF(AND(B84="SELL",L84&gt;0),D84*L84,0)</f>
        <v/>
      </c>
      <c r="N84" s="36" t="n"/>
      <c r="O84" s="43">
        <f>IF(AND(B84="SELL",G84&lt;&gt;0),Q84/ABS(G84),0)</f>
        <v/>
      </c>
      <c r="P84" s="43">
        <f>IF(AND(B84="SELL",D84&gt;0),R84/D84,0)</f>
        <v/>
      </c>
      <c r="Q84" s="44">
        <f>IF(AND(B84="SELL",D84&gt;0,E84&gt;0),(D84/E84)+G84,0)</f>
        <v/>
      </c>
      <c r="R84" s="45">
        <f>IF(B84="SELL",Q84*F84,0)</f>
        <v/>
      </c>
      <c r="S84" s="24">
        <f>S83+R84</f>
        <v/>
      </c>
    </row>
    <row r="85" ht="15.75" customHeight="1" s="94">
      <c r="A85" s="46" t="n">
        <v>84</v>
      </c>
      <c r="B85" s="47" t="inlineStr">
        <is>
          <t>SELL</t>
        </is>
      </c>
      <c r="C85" s="48" t="n">
        <v>45958</v>
      </c>
      <c r="D85" s="49" t="n">
        <v>50000</v>
      </c>
      <c r="E85" s="50" t="n">
        <v>953.8</v>
      </c>
      <c r="F85" s="50" t="n">
        <v>953.8</v>
      </c>
      <c r="G85" s="51" t="n">
        <v>-49.99</v>
      </c>
      <c r="H85" s="51" t="n"/>
      <c r="I85" s="30" t="n">
        <v>342.55</v>
      </c>
      <c r="J85" s="51" t="n">
        <v>308.005</v>
      </c>
      <c r="K85" s="52">
        <f>IF(AND(B85="SELL",E85&gt;0,J85&lt;&gt;""),J85/E85,0)</f>
        <v/>
      </c>
      <c r="L85" s="52" t="n">
        <v>0.308</v>
      </c>
      <c r="M85" s="50">
        <f>IF(AND(B85="SELL",L85&gt;0),D85*L85,0)</f>
        <v/>
      </c>
      <c r="N85" s="46" t="n"/>
      <c r="O85" s="53">
        <f>IF(AND(B85="SELL",G85&lt;&gt;0),Q85/ABS(G85),0)</f>
        <v/>
      </c>
      <c r="P85" s="53">
        <f>IF(AND(B85="SELL",D85&gt;0),R85/D85,0)</f>
        <v/>
      </c>
      <c r="Q85" s="54">
        <f>IF(AND(B85="SELL",D85&gt;0,E85&gt;0),(D85/E85)+G85,0)</f>
        <v/>
      </c>
      <c r="R85" s="55">
        <f>IF(B85="SELL",Q85*F85,0)</f>
        <v/>
      </c>
      <c r="S85" s="35">
        <f>S84+R85</f>
        <v/>
      </c>
    </row>
    <row r="86" ht="15.75" customHeight="1" s="94">
      <c r="A86" s="36" t="n">
        <v>85</v>
      </c>
      <c r="B86" s="37" t="inlineStr">
        <is>
          <t>SELL</t>
        </is>
      </c>
      <c r="C86" s="38" t="n">
        <v>45958</v>
      </c>
      <c r="D86" s="39" t="n">
        <v>25000</v>
      </c>
      <c r="E86" s="40" t="n">
        <v>953.8</v>
      </c>
      <c r="F86" s="40" t="n">
        <v>953.8</v>
      </c>
      <c r="G86" s="41" t="n">
        <v>-25.27</v>
      </c>
      <c r="H86" s="41" t="n"/>
      <c r="I86" s="19" t="n">
        <v>317.28</v>
      </c>
      <c r="J86" s="41" t="n">
        <v>304.62</v>
      </c>
      <c r="K86" s="42">
        <f>IF(AND(B86="SELL",E86&gt;0,J86&lt;&gt;""),J86/E86,0)</f>
        <v/>
      </c>
      <c r="L86" s="42" t="n">
        <v>0.308</v>
      </c>
      <c r="M86" s="40">
        <f>IF(AND(B86="SELL",L86&gt;0),D86*L86,0)</f>
        <v/>
      </c>
      <c r="N86" s="36" t="n"/>
      <c r="O86" s="43">
        <f>IF(AND(B86="SELL",G86&lt;&gt;0),Q86/ABS(G86),0)</f>
        <v/>
      </c>
      <c r="P86" s="43">
        <f>IF(AND(B86="SELL",D86&gt;0),R86/D86,0)</f>
        <v/>
      </c>
      <c r="Q86" s="44">
        <f>IF(AND(B86="SELL",D86&gt;0,E86&gt;0),(D86/E86)+G86,0)</f>
        <v/>
      </c>
      <c r="R86" s="45">
        <f>IF(B86="SELL",Q86*F86,0)</f>
        <v/>
      </c>
      <c r="S86" s="24">
        <f>S85+R86</f>
        <v/>
      </c>
    </row>
    <row r="87" ht="15.75" customHeight="1" s="94">
      <c r="A87" s="25" t="n">
        <v>86</v>
      </c>
      <c r="B87" s="26" t="inlineStr">
        <is>
          <t>BUY</t>
        </is>
      </c>
      <c r="C87" s="27" t="n">
        <v>45958</v>
      </c>
      <c r="D87" s="28" t="n">
        <v>1340000</v>
      </c>
      <c r="E87" s="29" t="n">
        <v>953.8</v>
      </c>
      <c r="F87" s="29" t="n">
        <v>953.8</v>
      </c>
      <c r="G87" s="30" t="n">
        <v>1416.04</v>
      </c>
      <c r="H87" s="30" t="n"/>
      <c r="I87" s="30" t="n">
        <v>1733.32</v>
      </c>
      <c r="J87" s="30" t="n"/>
      <c r="K87" s="31">
        <f>IF(AND(B87="SELL",E87&gt;0,J87&lt;&gt;""),J87/E87,0)</f>
        <v/>
      </c>
      <c r="L87" s="31" t="n"/>
      <c r="M87" s="29">
        <f>IF(AND(B87="SELL",L87&gt;0),D87*L87,0)</f>
        <v/>
      </c>
      <c r="N87" s="25" t="n"/>
      <c r="O87" s="32">
        <f>IF(AND(B87="SELL",G87&lt;&gt;0),Q87/ABS(G87),0)</f>
        <v/>
      </c>
      <c r="P87" s="32">
        <f>IF(AND(B87="SELL",D87&gt;0),R87/D87,0)</f>
        <v/>
      </c>
      <c r="Q87" s="33">
        <f>IF(AND(B87="SELL",D87&gt;0,E87&gt;0),(D87/E87)+G87,0)</f>
        <v/>
      </c>
      <c r="R87" s="34">
        <f>IF(B87="SELL",Q87*F87,0)</f>
        <v/>
      </c>
      <c r="S87" s="35">
        <f>S86+R87</f>
        <v/>
      </c>
    </row>
    <row r="88" ht="15.75" customHeight="1" s="94">
      <c r="A88" s="36" t="n">
        <v>87</v>
      </c>
      <c r="B88" s="37" t="inlineStr">
        <is>
          <t>SELL</t>
        </is>
      </c>
      <c r="C88" s="38" t="n">
        <v>45958</v>
      </c>
      <c r="D88" s="39" t="n">
        <v>1340000</v>
      </c>
      <c r="E88" s="40" t="n">
        <v>946.39</v>
      </c>
      <c r="F88" s="40" t="n">
        <v>953.8</v>
      </c>
      <c r="G88" s="41" t="n">
        <v>-1345.71</v>
      </c>
      <c r="H88" s="41" t="n"/>
      <c r="I88" s="19" t="n">
        <v>387.61</v>
      </c>
      <c r="J88" s="41" t="n">
        <v>946.39</v>
      </c>
      <c r="K88" s="42">
        <f>IF(AND(B88="SELL",E88&gt;0,J88&lt;&gt;""),J88/E88,0)</f>
        <v/>
      </c>
      <c r="L88" s="42" t="n">
        <v>1.0037</v>
      </c>
      <c r="M88" s="40">
        <f>IF(AND(B88="SELL",L88&gt;0),D88*L88,0)</f>
        <v/>
      </c>
      <c r="N88" s="36" t="n"/>
      <c r="O88" s="43">
        <f>IF(AND(B88="SELL",G88&lt;&gt;0),Q88/ABS(G88),0)</f>
        <v/>
      </c>
      <c r="P88" s="43">
        <f>IF(AND(B88="SELL",D88&gt;0),R88/D88,0)</f>
        <v/>
      </c>
      <c r="Q88" s="44">
        <f>IF(AND(B88="SELL",D88&gt;0,E88&gt;0),(D88/E88)+G88,0)</f>
        <v/>
      </c>
      <c r="R88" s="45">
        <f>IF(B88="SELL",Q88*F88,0)</f>
        <v/>
      </c>
      <c r="S88" s="24">
        <f>S87+R88</f>
        <v/>
      </c>
    </row>
    <row r="89" ht="15.75" customHeight="1" s="94">
      <c r="A89" s="25" t="n">
        <v>88</v>
      </c>
      <c r="B89" s="26" t="inlineStr">
        <is>
          <t>BUY</t>
        </is>
      </c>
      <c r="C89" s="27" t="n">
        <v>45958</v>
      </c>
      <c r="D89" s="28" t="n">
        <v>1212000</v>
      </c>
      <c r="E89" s="29" t="n">
        <v>946.22</v>
      </c>
      <c r="F89" s="29" t="n">
        <v>946.22</v>
      </c>
      <c r="G89" s="30" t="n">
        <v>1280.88</v>
      </c>
      <c r="H89" s="30" t="n"/>
      <c r="I89" s="30" t="n">
        <v>1595.64</v>
      </c>
      <c r="J89" s="30" t="n"/>
      <c r="K89" s="31">
        <f>IF(AND(B89="SELL",E89&gt;0,J89&lt;&gt;""),J89/E89,0)</f>
        <v/>
      </c>
      <c r="L89" s="31" t="n"/>
      <c r="M89" s="29">
        <f>IF(AND(B89="SELL",L89&gt;0),D89*L89,0)</f>
        <v/>
      </c>
      <c r="N89" s="25" t="inlineStr">
        <is>
          <t>Compra de USDT</t>
        </is>
      </c>
      <c r="O89" s="32">
        <f>IF(AND(B89="SELL",G89&lt;&gt;0),Q89/ABS(G89),0)</f>
        <v/>
      </c>
      <c r="P89" s="32">
        <f>IF(AND(B89="SELL",D89&gt;0),R89/D89,0)</f>
        <v/>
      </c>
      <c r="Q89" s="33">
        <f>IF(AND(B89="SELL",D89&gt;0,E89&gt;0),(D89/E89)+G89,0)</f>
        <v/>
      </c>
      <c r="R89" s="34">
        <f>IF(B89="SELL",Q89*F89,0)</f>
        <v/>
      </c>
      <c r="S89" s="35">
        <f>S88+R89</f>
        <v/>
      </c>
    </row>
    <row r="90" ht="15.75" customHeight="1" s="94">
      <c r="A90" s="36" t="n">
        <v>89</v>
      </c>
      <c r="B90" s="37" t="inlineStr">
        <is>
          <t>SELL</t>
        </is>
      </c>
      <c r="C90" s="38" t="n">
        <v>45958</v>
      </c>
      <c r="D90" s="39" t="n">
        <v>50000</v>
      </c>
      <c r="E90" s="40" t="n">
        <v>946.22</v>
      </c>
      <c r="F90" s="40" t="n">
        <v>946.22</v>
      </c>
      <c r="G90" s="41" t="n">
        <v>-49.99</v>
      </c>
      <c r="H90" s="41" t="n"/>
      <c r="I90" s="19" t="n">
        <v>1545.65</v>
      </c>
      <c r="J90" s="41" t="n">
        <v>308.305</v>
      </c>
      <c r="K90" s="42">
        <f>IF(AND(B90="SELL",E90&gt;0,J90&lt;&gt;""),J90/E90,0)</f>
        <v/>
      </c>
      <c r="L90" s="42" t="n">
        <v>0.308</v>
      </c>
      <c r="M90" s="40">
        <f>IF(AND(B90="SELL",L90&gt;0),D90*L90,0)</f>
        <v/>
      </c>
      <c r="N90" s="36" t="n"/>
      <c r="O90" s="43">
        <f>IF(AND(B90="SELL",G90&lt;&gt;0),Q90/ABS(G90),0)</f>
        <v/>
      </c>
      <c r="P90" s="43">
        <f>IF(AND(B90="SELL",D90&gt;0),R90/D90,0)</f>
        <v/>
      </c>
      <c r="Q90" s="44">
        <f>IF(AND(B90="SELL",D90&gt;0,E90&gt;0),(D90/E90)+G90,0)</f>
        <v/>
      </c>
      <c r="R90" s="45">
        <f>IF(B90="SELL",Q90*F90,0)</f>
        <v/>
      </c>
      <c r="S90" s="24">
        <f>S89+R90</f>
        <v/>
      </c>
    </row>
    <row r="91" ht="15.75" customHeight="1" s="94">
      <c r="A91" s="46" t="n">
        <v>90</v>
      </c>
      <c r="B91" s="47" t="inlineStr">
        <is>
          <t>SELL</t>
        </is>
      </c>
      <c r="C91" s="48" t="n">
        <v>45958</v>
      </c>
      <c r="D91" s="49" t="n">
        <v>25000</v>
      </c>
      <c r="E91" s="50" t="n">
        <v>946.22</v>
      </c>
      <c r="F91" s="50" t="n">
        <v>946.22</v>
      </c>
      <c r="G91" s="51" t="n">
        <v>-25.27</v>
      </c>
      <c r="H91" s="51" t="n"/>
      <c r="I91" s="30" t="n">
        <v>1520.38</v>
      </c>
      <c r="J91" s="51" t="n">
        <v>304.62</v>
      </c>
      <c r="K91" s="52">
        <f>IF(AND(B91="SELL",E91&gt;0,J91&lt;&gt;""),J91/E91,0)</f>
        <v/>
      </c>
      <c r="L91" s="52" t="n">
        <v>0.308</v>
      </c>
      <c r="M91" s="50">
        <f>IF(AND(B91="SELL",L91&gt;0),D91*L91,0)</f>
        <v/>
      </c>
      <c r="N91" s="46" t="n"/>
      <c r="O91" s="53">
        <f>IF(AND(B91="SELL",G91&lt;&gt;0),Q91/ABS(G91),0)</f>
        <v/>
      </c>
      <c r="P91" s="53">
        <f>IF(AND(B91="SELL",D91&gt;0),R91/D91,0)</f>
        <v/>
      </c>
      <c r="Q91" s="54">
        <f>IF(AND(B91="SELL",D91&gt;0,E91&gt;0),(D91/E91)+G91,0)</f>
        <v/>
      </c>
      <c r="R91" s="55">
        <f>IF(B91="SELL",Q91*F91,0)</f>
        <v/>
      </c>
      <c r="S91" s="35">
        <f>S90+R91</f>
        <v/>
      </c>
    </row>
    <row r="92" ht="15.75" customHeight="1" s="94">
      <c r="A92" s="36" t="n">
        <v>91</v>
      </c>
      <c r="B92" s="37" t="inlineStr">
        <is>
          <t>SELL</t>
        </is>
      </c>
      <c r="C92" s="38" t="n">
        <v>45959</v>
      </c>
      <c r="D92" s="39" t="n">
        <v>60000</v>
      </c>
      <c r="E92" s="40" t="n">
        <v>946.22</v>
      </c>
      <c r="F92" s="40" t="n">
        <v>946.22</v>
      </c>
      <c r="G92" s="41" t="n">
        <v>-60.74</v>
      </c>
      <c r="H92" s="41" t="n"/>
      <c r="I92" s="19" t="n">
        <v>1459.64</v>
      </c>
      <c r="J92" s="41" t="n">
        <v>304.2</v>
      </c>
      <c r="K92" s="42">
        <f>IF(AND(B92="SELL",E92&gt;0,J92&lt;&gt;""),J92/E92,0)</f>
        <v/>
      </c>
      <c r="L92" s="42" t="n">
        <v>0.308</v>
      </c>
      <c r="M92" s="40">
        <f>IF(AND(B92="SELL",L92&gt;0),D92*L92,0)</f>
        <v/>
      </c>
      <c r="N92" s="36" t="n"/>
      <c r="O92" s="43">
        <f>IF(AND(B92="SELL",G92&lt;&gt;0),Q92/ABS(G92),0)</f>
        <v/>
      </c>
      <c r="P92" s="43">
        <f>IF(AND(B92="SELL",D92&gt;0),R92/D92,0)</f>
        <v/>
      </c>
      <c r="Q92" s="44">
        <f>IF(AND(B92="SELL",D92&gt;0,E92&gt;0),(D92/E92)+G92,0)</f>
        <v/>
      </c>
      <c r="R92" s="45">
        <f>IF(B92="SELL",Q92*F92,0)</f>
        <v/>
      </c>
      <c r="S92" s="24">
        <f>S91+R92</f>
        <v/>
      </c>
    </row>
    <row r="93" ht="15.75" customHeight="1" s="94">
      <c r="A93" s="46" t="n">
        <v>92</v>
      </c>
      <c r="B93" s="47" t="inlineStr">
        <is>
          <t>SELL</t>
        </is>
      </c>
      <c r="C93" s="48" t="n">
        <v>45959</v>
      </c>
      <c r="D93" s="49" t="n">
        <v>50000</v>
      </c>
      <c r="E93" s="50" t="n">
        <v>946.22</v>
      </c>
      <c r="F93" s="50" t="n">
        <v>946.22</v>
      </c>
      <c r="G93" s="51" t="n">
        <v>-50.5</v>
      </c>
      <c r="H93" s="51" t="n"/>
      <c r="I93" s="30" t="n">
        <v>1409.14</v>
      </c>
      <c r="J93" s="51" t="n">
        <v>304.915</v>
      </c>
      <c r="K93" s="52">
        <f>IF(AND(B93="SELL",E93&gt;0,J93&lt;&gt;""),J93/E93,0)</f>
        <v/>
      </c>
      <c r="L93" s="52" t="n">
        <v>0.308</v>
      </c>
      <c r="M93" s="50">
        <f>IF(AND(B93="SELL",L93&gt;0),D93*L93,0)</f>
        <v/>
      </c>
      <c r="N93" s="46" t="n"/>
      <c r="O93" s="53">
        <f>IF(AND(B93="SELL",G93&lt;&gt;0),Q93/ABS(G93),0)</f>
        <v/>
      </c>
      <c r="P93" s="53">
        <f>IF(AND(B93="SELL",D93&gt;0),R93/D93,0)</f>
        <v/>
      </c>
      <c r="Q93" s="54">
        <f>IF(AND(B93="SELL",D93&gt;0,E93&gt;0),(D93/E93)+G93,0)</f>
        <v/>
      </c>
      <c r="R93" s="55">
        <f>IF(B93="SELL",Q93*F93,0)</f>
        <v/>
      </c>
      <c r="S93" s="35">
        <f>S92+R93</f>
        <v/>
      </c>
    </row>
    <row r="94" ht="15.75" customHeight="1" s="94">
      <c r="A94" s="36" t="n">
        <v>93</v>
      </c>
      <c r="B94" s="37" t="inlineStr">
        <is>
          <t>SELL</t>
        </is>
      </c>
      <c r="C94" s="38" t="n">
        <v>45960</v>
      </c>
      <c r="D94" s="39" t="n">
        <v>40000</v>
      </c>
      <c r="E94" s="40" t="n">
        <v>946.22</v>
      </c>
      <c r="F94" s="40" t="n">
        <v>946.22</v>
      </c>
      <c r="G94" s="41" t="n">
        <v>-40</v>
      </c>
      <c r="H94" s="41" t="n"/>
      <c r="I94" s="19" t="n">
        <v>1369.14</v>
      </c>
      <c r="J94" s="41" t="n">
        <v>304</v>
      </c>
      <c r="K94" s="42">
        <f>IF(AND(B94="SELL",E94&gt;0,J94&lt;&gt;""),J94/E94,0)</f>
        <v/>
      </c>
      <c r="L94" s="42" t="n">
        <v>0.304</v>
      </c>
      <c r="M94" s="40">
        <f>IF(AND(B94="SELL",L94&gt;0),D94*L94,0)</f>
        <v/>
      </c>
      <c r="N94" s="36" t="n"/>
      <c r="O94" s="43">
        <f>IF(AND(B94="SELL",G94&lt;&gt;0),Q94/ABS(G94),0)</f>
        <v/>
      </c>
      <c r="P94" s="43">
        <f>IF(AND(B94="SELL",D94&gt;0),R94/D94,0)</f>
        <v/>
      </c>
      <c r="Q94" s="44">
        <f>IF(AND(B94="SELL",D94&gt;0,E94&gt;0),(D94/E94)+G94,0)</f>
        <v/>
      </c>
      <c r="R94" s="45">
        <f>IF(B94="SELL",Q94*F94,0)</f>
        <v/>
      </c>
      <c r="S94" s="24">
        <f>S93+R94</f>
        <v/>
      </c>
    </row>
    <row r="95" ht="15.75" customHeight="1" s="94">
      <c r="A95" s="46" t="n">
        <v>94</v>
      </c>
      <c r="B95" s="47" t="inlineStr">
        <is>
          <t>SELL</t>
        </is>
      </c>
      <c r="C95" s="48" t="n">
        <v>45960</v>
      </c>
      <c r="D95" s="49" t="n">
        <v>20000</v>
      </c>
      <c r="E95" s="50" t="n">
        <v>946.22</v>
      </c>
      <c r="F95" s="50" t="n">
        <v>946.22</v>
      </c>
      <c r="G95" s="51" t="n">
        <v>-20.05</v>
      </c>
      <c r="H95" s="51" t="n"/>
      <c r="I95" s="30" t="n">
        <v>1349.09</v>
      </c>
      <c r="J95" s="51" t="n">
        <v>303.15</v>
      </c>
      <c r="K95" s="52">
        <f>IF(AND(B95="SELL",E95&gt;0,J95&lt;&gt;""),J95/E95,0)</f>
        <v/>
      </c>
      <c r="L95" s="52" t="n">
        <v>0.304</v>
      </c>
      <c r="M95" s="50">
        <f>IF(AND(B95="SELL",L95&gt;0),D95*L95,0)</f>
        <v/>
      </c>
      <c r="N95" s="46" t="n"/>
      <c r="O95" s="53">
        <f>IF(AND(B95="SELL",G95&lt;&gt;0),Q95/ABS(G95),0)</f>
        <v/>
      </c>
      <c r="P95" s="53">
        <f>IF(AND(B95="SELL",D95&gt;0),R95/D95,0)</f>
        <v/>
      </c>
      <c r="Q95" s="54">
        <f>IF(AND(B95="SELL",D95&gt;0,E95&gt;0),(D95/E95)+G95,0)</f>
        <v/>
      </c>
      <c r="R95" s="55">
        <f>IF(B95="SELL",Q95*F95,0)</f>
        <v/>
      </c>
      <c r="S95" s="35">
        <f>S94+R95</f>
        <v/>
      </c>
    </row>
    <row r="96" ht="15.75" customHeight="1" s="94">
      <c r="A96" s="36" t="n">
        <v>95</v>
      </c>
      <c r="B96" s="37" t="inlineStr">
        <is>
          <t>SELL</t>
        </is>
      </c>
      <c r="C96" s="38" t="n">
        <v>45960</v>
      </c>
      <c r="D96" s="39" t="n">
        <v>100000</v>
      </c>
      <c r="E96" s="40" t="n">
        <v>946.22</v>
      </c>
      <c r="F96" s="40" t="n">
        <v>946.22</v>
      </c>
      <c r="G96" s="41" t="n">
        <v>-100.34</v>
      </c>
      <c r="H96" s="41" t="n"/>
      <c r="I96" s="19" t="n">
        <v>1248.75</v>
      </c>
      <c r="J96" s="41" t="n">
        <v>302.955</v>
      </c>
      <c r="K96" s="42">
        <f>IF(AND(B96="SELL",E96&gt;0,J96&lt;&gt;""),J96/E96,0)</f>
        <v/>
      </c>
      <c r="L96" s="42" t="n">
        <v>0.304</v>
      </c>
      <c r="M96" s="40">
        <f>IF(AND(B96="SELL",L96&gt;0),D96*L96,0)</f>
        <v/>
      </c>
      <c r="N96" s="36" t="n"/>
      <c r="O96" s="43">
        <f>IF(AND(B96="SELL",G96&lt;&gt;0),Q96/ABS(G96),0)</f>
        <v/>
      </c>
      <c r="P96" s="43">
        <f>IF(AND(B96="SELL",D96&gt;0),R96/D96,0)</f>
        <v/>
      </c>
      <c r="Q96" s="44">
        <f>IF(AND(B96="SELL",D96&gt;0,E96&gt;0),(D96/E96)+G96,0)</f>
        <v/>
      </c>
      <c r="R96" s="45">
        <f>IF(B96="SELL",Q96*F96,0)</f>
        <v/>
      </c>
      <c r="S96" s="24">
        <f>S95+R96</f>
        <v/>
      </c>
    </row>
    <row r="97" ht="15.75" customHeight="1" s="94">
      <c r="A97" s="46" t="n">
        <v>96</v>
      </c>
      <c r="B97" s="47" t="inlineStr">
        <is>
          <t>SELL</t>
        </is>
      </c>
      <c r="C97" s="48" t="n">
        <v>45960</v>
      </c>
      <c r="D97" s="49" t="n">
        <v>100000</v>
      </c>
      <c r="E97" s="50" t="n">
        <v>946.22</v>
      </c>
      <c r="F97" s="50" t="n">
        <v>946.22</v>
      </c>
      <c r="G97" s="51" t="n">
        <v>-100.34</v>
      </c>
      <c r="H97" s="51" t="n"/>
      <c r="I97" s="30" t="n">
        <v>1148.41</v>
      </c>
      <c r="J97" s="51" t="n">
        <v>302.955</v>
      </c>
      <c r="K97" s="52">
        <f>IF(AND(B97="SELL",E97&gt;0,J97&lt;&gt;""),J97/E97,0)</f>
        <v/>
      </c>
      <c r="L97" s="52" t="n">
        <v>0.304</v>
      </c>
      <c r="M97" s="50">
        <f>IF(AND(B97="SELL",L97&gt;0),D97*L97,0)</f>
        <v/>
      </c>
      <c r="N97" s="46" t="n"/>
      <c r="O97" s="53">
        <f>IF(AND(B97="SELL",G97&lt;&gt;0),Q97/ABS(G97),0)</f>
        <v/>
      </c>
      <c r="P97" s="53">
        <f>IF(AND(B97="SELL",D97&gt;0),R97/D97,0)</f>
        <v/>
      </c>
      <c r="Q97" s="54">
        <f>IF(AND(B97="SELL",D97&gt;0,E97&gt;0),(D97/E97)+G97,0)</f>
        <v/>
      </c>
      <c r="R97" s="55">
        <f>IF(B97="SELL",Q97*F97,0)</f>
        <v/>
      </c>
      <c r="S97" s="35">
        <f>S96+R97</f>
        <v/>
      </c>
    </row>
    <row r="98" ht="15.75" customHeight="1" s="94">
      <c r="A98" s="36" t="n">
        <v>97</v>
      </c>
      <c r="B98" s="37" t="inlineStr">
        <is>
          <t>SELL</t>
        </is>
      </c>
      <c r="C98" s="38" t="n">
        <v>45960</v>
      </c>
      <c r="D98" s="39" t="n">
        <v>15000</v>
      </c>
      <c r="E98" s="40" t="n">
        <v>946.22</v>
      </c>
      <c r="F98" s="40" t="n">
        <v>946.22</v>
      </c>
      <c r="G98" s="41" t="n">
        <v>-15.11</v>
      </c>
      <c r="H98" s="41" t="n"/>
      <c r="I98" s="19" t="n">
        <v>1133.3</v>
      </c>
      <c r="J98" s="41" t="n">
        <v>301.7</v>
      </c>
      <c r="K98" s="42">
        <f>IF(AND(B98="SELL",E98&gt;0,J98&lt;&gt;""),J98/E98,0)</f>
        <v/>
      </c>
      <c r="L98" s="42" t="n">
        <v>0.304</v>
      </c>
      <c r="M98" s="40">
        <f>IF(AND(B98="SELL",L98&gt;0),D98*L98,0)</f>
        <v/>
      </c>
      <c r="N98" s="36" t="n"/>
      <c r="O98" s="43">
        <f>IF(AND(B98="SELL",G98&lt;&gt;0),Q98/ABS(G98),0)</f>
        <v/>
      </c>
      <c r="P98" s="43">
        <f>IF(AND(B98="SELL",D98&gt;0),R98/D98,0)</f>
        <v/>
      </c>
      <c r="Q98" s="44">
        <f>IF(AND(B98="SELL",D98&gt;0,E98&gt;0),(D98/E98)+G98,0)</f>
        <v/>
      </c>
      <c r="R98" s="45">
        <f>IF(B98="SELL",Q98*F98,0)</f>
        <v/>
      </c>
      <c r="S98" s="24">
        <f>S97+R98</f>
        <v/>
      </c>
    </row>
    <row r="99" ht="15.75" customHeight="1" s="94">
      <c r="A99" s="46" t="n">
        <v>98</v>
      </c>
      <c r="B99" s="47" t="inlineStr">
        <is>
          <t>SELL</t>
        </is>
      </c>
      <c r="C99" s="48" t="n">
        <v>45960</v>
      </c>
      <c r="D99" s="49" t="n">
        <v>40000</v>
      </c>
      <c r="E99" s="50" t="n">
        <v>946.22</v>
      </c>
      <c r="F99" s="50" t="n">
        <v>946.22</v>
      </c>
      <c r="G99" s="51" t="n">
        <v>-40.2</v>
      </c>
      <c r="H99" s="51" t="n"/>
      <c r="I99" s="30" t="n">
        <v>1093.1</v>
      </c>
      <c r="J99" s="51" t="n">
        <v>302.45</v>
      </c>
      <c r="K99" s="52">
        <f>IF(AND(B99="SELL",E99&gt;0,J99&lt;&gt;""),J99/E99,0)</f>
        <v/>
      </c>
      <c r="L99" s="52" t="n">
        <v>0.304</v>
      </c>
      <c r="M99" s="50">
        <f>IF(AND(B99="SELL",L99&gt;0),D99*L99,0)</f>
        <v/>
      </c>
      <c r="N99" s="46" t="n"/>
      <c r="O99" s="53">
        <f>IF(AND(B99="SELL",G99&lt;&gt;0),Q99/ABS(G99),0)</f>
        <v/>
      </c>
      <c r="P99" s="53">
        <f>IF(AND(B99="SELL",D99&gt;0),R99/D99,0)</f>
        <v/>
      </c>
      <c r="Q99" s="54">
        <f>IF(AND(B99="SELL",D99&gt;0,E99&gt;0),(D99/E99)+G99,0)</f>
        <v/>
      </c>
      <c r="R99" s="55">
        <f>IF(B99="SELL",Q99*F99,0)</f>
        <v/>
      </c>
      <c r="S99" s="35">
        <f>S98+R99</f>
        <v/>
      </c>
    </row>
    <row r="100" ht="15.75" customHeight="1" s="94">
      <c r="A100" s="36" t="n">
        <v>99</v>
      </c>
      <c r="B100" s="37" t="inlineStr">
        <is>
          <t>SELL</t>
        </is>
      </c>
      <c r="C100" s="38" t="n">
        <v>45960</v>
      </c>
      <c r="D100" s="39" t="n">
        <v>30000</v>
      </c>
      <c r="E100" s="40" t="n">
        <v>946.22</v>
      </c>
      <c r="F100" s="40" t="n">
        <v>946.22</v>
      </c>
      <c r="G100" s="41" t="n">
        <v>-30.18</v>
      </c>
      <c r="H100" s="41" t="n"/>
      <c r="I100" s="19" t="n">
        <v>1062.92</v>
      </c>
      <c r="J100" s="41" t="n">
        <v>302.1</v>
      </c>
      <c r="K100" s="42">
        <f>IF(AND(B100="SELL",E100&gt;0,J100&lt;&gt;""),J100/E100,0)</f>
        <v/>
      </c>
      <c r="L100" s="42" t="n">
        <v>0.304</v>
      </c>
      <c r="M100" s="40">
        <f>IF(AND(B100="SELL",L100&gt;0),D100*L100,0)</f>
        <v/>
      </c>
      <c r="N100" s="36" t="n"/>
      <c r="O100" s="43">
        <f>IF(AND(B100="SELL",G100&lt;&gt;0),Q100/ABS(G100),0)</f>
        <v/>
      </c>
      <c r="P100" s="43">
        <f>IF(AND(B100="SELL",D100&gt;0),R100/D100,0)</f>
        <v/>
      </c>
      <c r="Q100" s="44">
        <f>IF(AND(B100="SELL",D100&gt;0,E100&gt;0),(D100/E100)+G100,0)</f>
        <v/>
      </c>
      <c r="R100" s="45">
        <f>IF(B100="SELL",Q100*F100,0)</f>
        <v/>
      </c>
      <c r="S100" s="24">
        <f>S99+R100</f>
        <v/>
      </c>
    </row>
    <row r="101" ht="15.75" customHeight="1" s="94">
      <c r="A101" s="46" t="n">
        <v>100</v>
      </c>
      <c r="B101" s="47" t="inlineStr">
        <is>
          <t>SELL</t>
        </is>
      </c>
      <c r="C101" s="48" t="n">
        <v>45960</v>
      </c>
      <c r="D101" s="49" t="n">
        <v>24000</v>
      </c>
      <c r="E101" s="50" t="n">
        <v>946.22</v>
      </c>
      <c r="F101" s="50" t="n">
        <v>946.22</v>
      </c>
      <c r="G101" s="51" t="n">
        <v>-24.26</v>
      </c>
      <c r="H101" s="51" t="n"/>
      <c r="I101" s="30" t="n">
        <v>1038.66</v>
      </c>
      <c r="J101" s="51" t="n">
        <v>300.87</v>
      </c>
      <c r="K101" s="52">
        <f>IF(AND(B101="SELL",E101&gt;0,J101&lt;&gt;""),J101/E101,0)</f>
        <v/>
      </c>
      <c r="L101" s="52" t="n">
        <v>0.304</v>
      </c>
      <c r="M101" s="50">
        <f>IF(AND(B101="SELL",L101&gt;0),D101*L101,0)</f>
        <v/>
      </c>
      <c r="N101" s="46" t="n"/>
      <c r="O101" s="53">
        <f>IF(AND(B101="SELL",G101&lt;&gt;0),Q101/ABS(G101),0)</f>
        <v/>
      </c>
      <c r="P101" s="53">
        <f>IF(AND(B101="SELL",D101&gt;0),R101/D101,0)</f>
        <v/>
      </c>
      <c r="Q101" s="54">
        <f>IF(AND(B101="SELL",D101&gt;0,E101&gt;0),(D101/E101)+G101,0)</f>
        <v/>
      </c>
      <c r="R101" s="55">
        <f>IF(B101="SELL",Q101*F101,0)</f>
        <v/>
      </c>
      <c r="S101" s="35">
        <f>S100+R101</f>
        <v/>
      </c>
    </row>
    <row r="102" ht="15.75" customHeight="1" s="94">
      <c r="A102" s="36" t="n">
        <v>101</v>
      </c>
      <c r="B102" s="37" t="inlineStr">
        <is>
          <t>SELL</t>
        </is>
      </c>
      <c r="C102" s="38" t="n">
        <v>45960</v>
      </c>
      <c r="D102" s="39" t="n">
        <v>20000</v>
      </c>
      <c r="E102" s="40" t="n">
        <v>946.22</v>
      </c>
      <c r="F102" s="40" t="n">
        <v>946.22</v>
      </c>
      <c r="G102" s="41" t="n">
        <v>-20.13</v>
      </c>
      <c r="H102" s="41" t="n"/>
      <c r="I102" s="19" t="n">
        <v>1018.53</v>
      </c>
      <c r="J102" s="41" t="n">
        <v>300.87</v>
      </c>
      <c r="K102" s="42">
        <f>IF(AND(B102="SELL",E102&gt;0,J102&lt;&gt;""),J102/E102,0)</f>
        <v/>
      </c>
      <c r="L102" s="42" t="n">
        <v>0.304</v>
      </c>
      <c r="M102" s="40">
        <f>IF(AND(B102="SELL",L102&gt;0),D102*L102,0)</f>
        <v/>
      </c>
      <c r="N102" s="36" t="n"/>
      <c r="O102" s="43">
        <f>IF(AND(B102="SELL",G102&lt;&gt;0),Q102/ABS(G102),0)</f>
        <v/>
      </c>
      <c r="P102" s="43">
        <f>IF(AND(B102="SELL",D102&gt;0),R102/D102,0)</f>
        <v/>
      </c>
      <c r="Q102" s="44">
        <f>IF(AND(B102="SELL",D102&gt;0,E102&gt;0),(D102/E102)+G102,0)</f>
        <v/>
      </c>
      <c r="R102" s="45">
        <f>IF(B102="SELL",Q102*F102,0)</f>
        <v/>
      </c>
      <c r="S102" s="24">
        <f>S101+R102</f>
        <v/>
      </c>
    </row>
    <row r="103" ht="15.75" customHeight="1" s="94">
      <c r="A103" s="46" t="n">
        <v>102</v>
      </c>
      <c r="B103" s="47" t="inlineStr">
        <is>
          <t>SELL</t>
        </is>
      </c>
      <c r="C103" s="48" t="n">
        <v>45961</v>
      </c>
      <c r="D103" s="49" t="n">
        <v>70000</v>
      </c>
      <c r="E103" s="50" t="n">
        <v>946.22</v>
      </c>
      <c r="F103" s="50" t="n">
        <v>946.22</v>
      </c>
      <c r="G103" s="51" t="n">
        <v>-70.56</v>
      </c>
      <c r="H103" s="51" t="n"/>
      <c r="I103" s="30" t="n">
        <v>947.97</v>
      </c>
      <c r="J103" s="51" t="n">
        <v>299.6</v>
      </c>
      <c r="K103" s="52">
        <f>IF(AND(B103="SELL",E103&gt;0,J103&lt;&gt;""),J103/E103,0)</f>
        <v/>
      </c>
      <c r="L103" s="52" t="n">
        <v>0.302</v>
      </c>
      <c r="M103" s="50">
        <f>IF(AND(B103="SELL",L103&gt;0),D103*L103,0)</f>
        <v/>
      </c>
      <c r="N103" s="46" t="n"/>
      <c r="O103" s="53">
        <f>IF(AND(B103="SELL",G103&lt;&gt;0),Q103/ABS(G103),0)</f>
        <v/>
      </c>
      <c r="P103" s="53">
        <f>IF(AND(B103="SELL",D103&gt;0),R103/D103,0)</f>
        <v/>
      </c>
      <c r="Q103" s="54">
        <f>IF(AND(B103="SELL",D103&gt;0,E103&gt;0),(D103/E103)+G103,0)</f>
        <v/>
      </c>
      <c r="R103" s="55">
        <f>IF(B103="SELL",Q103*F103,0)</f>
        <v/>
      </c>
      <c r="S103" s="35">
        <f>S102+R103</f>
        <v/>
      </c>
    </row>
    <row r="104" ht="15.75" customHeight="1" s="94">
      <c r="A104" s="36" t="n">
        <v>103</v>
      </c>
      <c r="B104" s="37" t="inlineStr">
        <is>
          <t>SELL</t>
        </is>
      </c>
      <c r="C104" s="38" t="n">
        <v>45961</v>
      </c>
      <c r="D104" s="39" t="n">
        <v>32000</v>
      </c>
      <c r="E104" s="40" t="n">
        <v>946.22</v>
      </c>
      <c r="F104" s="40" t="n">
        <v>946.22</v>
      </c>
      <c r="G104" s="41" t="n">
        <v>-32.31</v>
      </c>
      <c r="H104" s="41" t="n"/>
      <c r="I104" s="19" t="n">
        <v>915.66</v>
      </c>
      <c r="J104" s="41" t="n">
        <v>299.1</v>
      </c>
      <c r="K104" s="42">
        <f>IF(AND(B104="SELL",E104&gt;0,J104&lt;&gt;""),J104/E104,0)</f>
        <v/>
      </c>
      <c r="L104" s="42" t="n">
        <v>0.302</v>
      </c>
      <c r="M104" s="40">
        <f>IF(AND(B104="SELL",L104&gt;0),D104*L104,0)</f>
        <v/>
      </c>
      <c r="N104" s="36" t="n"/>
      <c r="O104" s="43">
        <f>IF(AND(B104="SELL",G104&lt;&gt;0),Q104/ABS(G104),0)</f>
        <v/>
      </c>
      <c r="P104" s="43">
        <f>IF(AND(B104="SELL",D104&gt;0),R104/D104,0)</f>
        <v/>
      </c>
      <c r="Q104" s="44">
        <f>IF(AND(B104="SELL",D104&gt;0,E104&gt;0),(D104/E104)+G104,0)</f>
        <v/>
      </c>
      <c r="R104" s="45">
        <f>IF(B104="SELL",Q104*F104,0)</f>
        <v/>
      </c>
      <c r="S104" s="24">
        <f>S103+R104</f>
        <v/>
      </c>
    </row>
    <row r="105" ht="15.75" customHeight="1" s="94">
      <c r="A105" s="46" t="n">
        <v>104</v>
      </c>
      <c r="B105" s="47" t="inlineStr">
        <is>
          <t>SELL</t>
        </is>
      </c>
      <c r="C105" s="48" t="n">
        <v>45961</v>
      </c>
      <c r="D105" s="49" t="n">
        <v>61200</v>
      </c>
      <c r="E105" s="50" t="n">
        <v>946.22</v>
      </c>
      <c r="F105" s="50" t="n">
        <v>946.22</v>
      </c>
      <c r="G105" s="51" t="n">
        <v>-61.39</v>
      </c>
      <c r="H105" s="51" t="n"/>
      <c r="I105" s="30" t="n">
        <v>854.27</v>
      </c>
      <c r="J105" s="51" t="n">
        <v>301.001</v>
      </c>
      <c r="K105" s="52">
        <f>IF(AND(B105="SELL",E105&gt;0,J105&lt;&gt;""),J105/E105,0)</f>
        <v/>
      </c>
      <c r="L105" s="52" t="n">
        <v>0.302</v>
      </c>
      <c r="M105" s="50">
        <f>IF(AND(B105="SELL",L105&gt;0),D105*L105,0)</f>
        <v/>
      </c>
      <c r="N105" s="46" t="n"/>
      <c r="O105" s="53">
        <f>IF(AND(B105="SELL",G105&lt;&gt;0),Q105/ABS(G105),0)</f>
        <v/>
      </c>
      <c r="P105" s="53">
        <f>IF(AND(B105="SELL",D105&gt;0),R105/D105,0)</f>
        <v/>
      </c>
      <c r="Q105" s="54">
        <f>IF(AND(B105="SELL",D105&gt;0,E105&gt;0),(D105/E105)+G105,0)</f>
        <v/>
      </c>
      <c r="R105" s="55">
        <f>IF(B105="SELL",Q105*F105,0)</f>
        <v/>
      </c>
      <c r="S105" s="35">
        <f>S104+R105</f>
        <v/>
      </c>
    </row>
    <row r="106" ht="15.75" customHeight="1" s="94">
      <c r="A106" s="36" t="n">
        <v>105</v>
      </c>
      <c r="B106" s="37" t="inlineStr">
        <is>
          <t>SELL</t>
        </is>
      </c>
      <c r="C106" s="38" t="n">
        <v>45961</v>
      </c>
      <c r="D106" s="39" t="n">
        <v>50000</v>
      </c>
      <c r="E106" s="40" t="n">
        <v>946.22</v>
      </c>
      <c r="F106" s="40" t="n">
        <v>946.22</v>
      </c>
      <c r="G106" s="41" t="n">
        <v>-50.47</v>
      </c>
      <c r="H106" s="41" t="n"/>
      <c r="I106" s="19" t="n">
        <v>803.8</v>
      </c>
      <c r="J106" s="41" t="n">
        <v>299.15</v>
      </c>
      <c r="K106" s="42">
        <f>IF(AND(B106="SELL",E106&gt;0,J106&lt;&gt;""),J106/E106,0)</f>
        <v/>
      </c>
      <c r="L106" s="42" t="n">
        <v>0.302</v>
      </c>
      <c r="M106" s="40">
        <f>IF(AND(B106="SELL",L106&gt;0),D106*L106,0)</f>
        <v/>
      </c>
      <c r="N106" s="36" t="n"/>
      <c r="O106" s="43">
        <f>IF(AND(B106="SELL",G106&lt;&gt;0),Q106/ABS(G106),0)</f>
        <v/>
      </c>
      <c r="P106" s="43">
        <f>IF(AND(B106="SELL",D106&gt;0),R106/D106,0)</f>
        <v/>
      </c>
      <c r="Q106" s="44">
        <f>IF(AND(B106="SELL",D106&gt;0,E106&gt;0),(D106/E106)+G106,0)</f>
        <v/>
      </c>
      <c r="R106" s="45">
        <f>IF(B106="SELL",Q106*F106,0)</f>
        <v/>
      </c>
      <c r="S106" s="24">
        <f>S105+R106</f>
        <v/>
      </c>
    </row>
    <row r="107" ht="15.75" customHeight="1" s="94">
      <c r="A107" s="46" t="n">
        <v>106</v>
      </c>
      <c r="B107" s="47" t="inlineStr">
        <is>
          <t>SELL</t>
        </is>
      </c>
      <c r="C107" s="48" t="n">
        <v>45961</v>
      </c>
      <c r="D107" s="49" t="n">
        <v>25000</v>
      </c>
      <c r="E107" s="50" t="n">
        <v>946.22</v>
      </c>
      <c r="F107" s="50" t="n">
        <v>946.22</v>
      </c>
      <c r="G107" s="51" t="n">
        <v>-25.25</v>
      </c>
      <c r="H107" s="51" t="n"/>
      <c r="I107" s="30" t="n">
        <v>778.55</v>
      </c>
      <c r="J107" s="51" t="n">
        <v>209.001</v>
      </c>
      <c r="K107" s="52">
        <f>IF(AND(B107="SELL",E107&gt;0,J107&lt;&gt;""),J107/E107,0)</f>
        <v/>
      </c>
      <c r="L107" s="52" t="n">
        <v>0.302</v>
      </c>
      <c r="M107" s="50">
        <f>IF(AND(B107="SELL",L107&gt;0),D107*L107,0)</f>
        <v/>
      </c>
      <c r="N107" s="46" t="n"/>
      <c r="O107" s="53">
        <f>IF(AND(B107="SELL",G107&lt;&gt;0),Q107/ABS(G107),0)</f>
        <v/>
      </c>
      <c r="P107" s="53">
        <f>IF(AND(B107="SELL",D107&gt;0),R107/D107,0)</f>
        <v/>
      </c>
      <c r="Q107" s="54">
        <f>IF(AND(B107="SELL",D107&gt;0,E107&gt;0),(D107/E107)+G107,0)</f>
        <v/>
      </c>
      <c r="R107" s="55">
        <f>IF(B107="SELL",Q107*F107,0)</f>
        <v/>
      </c>
      <c r="S107" s="35">
        <f>S106+R107</f>
        <v/>
      </c>
    </row>
    <row r="108" ht="15.75" customHeight="1" s="94">
      <c r="A108" s="36" t="n">
        <v>107</v>
      </c>
      <c r="B108" s="37" t="inlineStr">
        <is>
          <t>SELL</t>
        </is>
      </c>
      <c r="C108" s="38" t="n">
        <v>45961</v>
      </c>
      <c r="D108" s="39" t="n">
        <v>27200</v>
      </c>
      <c r="E108" s="40" t="n">
        <v>946.22</v>
      </c>
      <c r="F108" s="40" t="n">
        <v>946.22</v>
      </c>
      <c r="G108" s="41" t="n">
        <v>-27.48</v>
      </c>
      <c r="H108" s="41" t="n"/>
      <c r="I108" s="19" t="n">
        <v>751.0700000000001</v>
      </c>
      <c r="J108" s="41" t="n">
        <v>298.6</v>
      </c>
      <c r="K108" s="42">
        <f>IF(AND(B108="SELL",E108&gt;0,J108&lt;&gt;""),J108/E108,0)</f>
        <v/>
      </c>
      <c r="L108" s="42" t="n">
        <v>0.302</v>
      </c>
      <c r="M108" s="40">
        <f>IF(AND(B108="SELL",L108&gt;0),D108*L108,0)</f>
        <v/>
      </c>
      <c r="N108" s="36" t="n"/>
      <c r="O108" s="43">
        <f>IF(AND(B108="SELL",G108&lt;&gt;0),Q108/ABS(G108),0)</f>
        <v/>
      </c>
      <c r="P108" s="43">
        <f>IF(AND(B108="SELL",D108&gt;0),R108/D108,0)</f>
        <v/>
      </c>
      <c r="Q108" s="44">
        <f>IF(AND(B108="SELL",D108&gt;0,E108&gt;0),(D108/E108)+G108,0)</f>
        <v/>
      </c>
      <c r="R108" s="45">
        <f>IF(B108="SELL",Q108*F108,0)</f>
        <v/>
      </c>
      <c r="S108" s="24">
        <f>S107+R108</f>
        <v/>
      </c>
    </row>
    <row r="109" ht="15.75" customHeight="1" s="94">
      <c r="A109" s="46" t="n">
        <v>108</v>
      </c>
      <c r="B109" s="47" t="inlineStr">
        <is>
          <t>SELL</t>
        </is>
      </c>
      <c r="C109" s="48" t="n">
        <v>45961</v>
      </c>
      <c r="D109" s="49" t="n">
        <v>100000</v>
      </c>
      <c r="E109" s="50" t="n">
        <v>946.22</v>
      </c>
      <c r="F109" s="50" t="n">
        <v>946.22</v>
      </c>
      <c r="G109" s="51" t="n">
        <v>-100.61</v>
      </c>
      <c r="H109" s="51" t="n"/>
      <c r="I109" s="30" t="n">
        <v>650.46</v>
      </c>
      <c r="J109" s="51" t="n">
        <v>300.15</v>
      </c>
      <c r="K109" s="52">
        <f>IF(AND(B109="SELL",E109&gt;0,J109&lt;&gt;""),J109/E109,0)</f>
        <v/>
      </c>
      <c r="L109" s="52" t="n">
        <v>0.302</v>
      </c>
      <c r="M109" s="50">
        <f>IF(AND(B109="SELL",L109&gt;0),D109*L109,0)</f>
        <v/>
      </c>
      <c r="N109" s="46" t="n"/>
      <c r="O109" s="53">
        <f>IF(AND(B109="SELL",G109&lt;&gt;0),Q109/ABS(G109),0)</f>
        <v/>
      </c>
      <c r="P109" s="53">
        <f>IF(AND(B109="SELL",D109&gt;0),R109/D109,0)</f>
        <v/>
      </c>
      <c r="Q109" s="54">
        <f>IF(AND(B109="SELL",D109&gt;0,E109&gt;0),(D109/E109)+G109,0)</f>
        <v/>
      </c>
      <c r="R109" s="55">
        <f>IF(B109="SELL",Q109*F109,0)</f>
        <v/>
      </c>
      <c r="S109" s="35">
        <f>S108+R109</f>
        <v/>
      </c>
    </row>
    <row r="110" ht="15.75" customHeight="1" s="94">
      <c r="A110" s="36" t="n">
        <v>109</v>
      </c>
      <c r="B110" s="37" t="inlineStr">
        <is>
          <t>SELL</t>
        </is>
      </c>
      <c r="C110" s="38" t="n">
        <v>45961</v>
      </c>
      <c r="D110" s="39" t="n">
        <v>50000</v>
      </c>
      <c r="E110" s="40" t="n">
        <v>946.22</v>
      </c>
      <c r="F110" s="40" t="n">
        <v>946.22</v>
      </c>
      <c r="G110" s="41" t="n">
        <v>-50.66</v>
      </c>
      <c r="H110" s="41" t="n"/>
      <c r="I110" s="19" t="n">
        <v>599.8</v>
      </c>
      <c r="J110" s="41" t="n">
        <v>298.01</v>
      </c>
      <c r="K110" s="42">
        <f>IF(AND(B110="SELL",E110&gt;0,J110&lt;&gt;""),J110/E110,0)</f>
        <v/>
      </c>
      <c r="L110" s="42" t="n">
        <v>0.302</v>
      </c>
      <c r="M110" s="40">
        <f>IF(AND(B110="SELL",L110&gt;0),D110*L110,0)</f>
        <v/>
      </c>
      <c r="N110" s="36" t="n"/>
      <c r="O110" s="43">
        <f>IF(AND(B110="SELL",G110&lt;&gt;0),Q110/ABS(G110),0)</f>
        <v/>
      </c>
      <c r="P110" s="43">
        <f>IF(AND(B110="SELL",D110&gt;0),R110/D110,0)</f>
        <v/>
      </c>
      <c r="Q110" s="44">
        <f>IF(AND(B110="SELL",D110&gt;0,E110&gt;0),(D110/E110)+G110,0)</f>
        <v/>
      </c>
      <c r="R110" s="45">
        <f>IF(B110="SELL",Q110*F110,0)</f>
        <v/>
      </c>
      <c r="S110" s="24">
        <f>S109+R110</f>
        <v/>
      </c>
    </row>
    <row r="112" ht="21.75" customHeight="1" s="94">
      <c r="A112" s="95" t="inlineStr">
        <is>
          <t>TOTALES — Octubre 2025</t>
        </is>
      </c>
      <c r="D112" s="56">
        <f>SUMIF(B2:B110,"SELL",D2:D110)</f>
        <v/>
      </c>
      <c r="G112" s="57">
        <f>COUNTIF(B2:B110,"SELL")</f>
        <v/>
      </c>
      <c r="I112" s="58">
        <f>I110</f>
        <v/>
      </c>
      <c r="Q112" s="58">
        <f>SUM(Q2:Q110)</f>
        <v/>
      </c>
      <c r="R112" s="59">
        <f>SUMIF(B2:B110,"SELL",R2:R110)</f>
        <v/>
      </c>
      <c r="S112" s="59">
        <f>S110</f>
        <v/>
      </c>
    </row>
  </sheetData>
  <mergeCells count="1">
    <mergeCell ref="A112:C11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8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25"/>
  <cols>
    <col width="5" customWidth="1" style="94" min="1" max="1"/>
    <col width="8" customWidth="1" style="94" min="2" max="2"/>
    <col width="11" customWidth="1" style="94" min="3" max="3"/>
    <col width="13" customWidth="1" style="94" min="4" max="6"/>
    <col width="10" customWidth="1" style="94" min="7" max="8"/>
    <col width="13" customWidth="1" style="94" min="9" max="10"/>
    <col width="11" customWidth="1" style="94" min="11" max="12"/>
    <col width="13" customWidth="1" style="94" min="13" max="13"/>
    <col width="20" customWidth="1" style="94" min="14" max="14"/>
    <col width="10" customWidth="1" style="94" min="15" max="16"/>
    <col width="13" customWidth="1" style="94" min="17" max="18"/>
    <col width="15" customWidth="1" style="94" min="19" max="19"/>
  </cols>
  <sheetData>
    <row r="1" ht="21.75" customHeight="1" s="94">
      <c r="A1" s="2" t="inlineStr">
        <is>
          <t>N°</t>
        </is>
      </c>
      <c r="B1" s="2" t="inlineStr">
        <is>
          <t>Tipo</t>
        </is>
      </c>
      <c r="C1" s="2" t="inlineStr">
        <is>
          <t>Fecha</t>
        </is>
      </c>
      <c r="D1" s="2" t="inlineStr">
        <is>
          <t>Monto CLP</t>
        </is>
      </c>
      <c r="E1" s="2" t="inlineStr">
        <is>
          <t>USDT/CLP Compra</t>
        </is>
      </c>
      <c r="F1" s="2" t="inlineStr">
        <is>
          <t>USDT/CLP Venta</t>
        </is>
      </c>
      <c r="G1" s="2" t="inlineStr">
        <is>
          <t>USDT Mov</t>
        </is>
      </c>
      <c r="H1" s="2" t="inlineStr">
        <is>
          <t>Tax Binance</t>
        </is>
      </c>
      <c r="I1" s="2" t="inlineStr">
        <is>
          <t>Capital USDT</t>
        </is>
      </c>
      <c r="J1" s="2" t="inlineStr">
        <is>
          <t>Tasa Destino</t>
        </is>
      </c>
      <c r="K1" s="2" t="inlineStr">
        <is>
          <t>Tasa Real</t>
        </is>
      </c>
      <c r="L1" s="2" t="inlineStr">
        <is>
          <t>Tasa IREMI</t>
        </is>
      </c>
      <c r="M1" s="2" t="inlineStr">
        <is>
          <t>Valor Destino</t>
        </is>
      </c>
      <c r="N1" s="2" t="inlineStr">
        <is>
          <t>Comentario</t>
        </is>
      </c>
      <c r="O1" s="2" t="inlineStr">
        <is>
          <t>% G USDT</t>
        </is>
      </c>
      <c r="P1" s="2" t="inlineStr">
        <is>
          <t>% G CLP</t>
        </is>
      </c>
      <c r="Q1" s="2" t="inlineStr">
        <is>
          <t>Ganancia USDT</t>
        </is>
      </c>
      <c r="R1" s="2" t="inlineStr">
        <is>
          <t>Ganancia CLP</t>
        </is>
      </c>
      <c r="S1" s="2" t="inlineStr">
        <is>
          <t>Acumulado SELL</t>
        </is>
      </c>
    </row>
    <row r="2" ht="15.75" customHeight="1" s="94">
      <c r="A2" s="36" t="n">
        <v>1</v>
      </c>
      <c r="B2" s="37" t="inlineStr">
        <is>
          <t>SELL</t>
        </is>
      </c>
      <c r="C2" s="38" t="n">
        <v>45961</v>
      </c>
      <c r="D2" s="39" t="n">
        <v>50000</v>
      </c>
      <c r="E2" s="40" t="n">
        <v>946.22</v>
      </c>
      <c r="F2" s="40" t="n">
        <v>946.22</v>
      </c>
      <c r="G2" s="41" t="n">
        <v>-50.66</v>
      </c>
      <c r="H2" s="41" t="n"/>
      <c r="I2" s="19" t="n">
        <v>599.8</v>
      </c>
      <c r="J2" s="41" t="n">
        <v>298.01</v>
      </c>
      <c r="K2" s="42">
        <f>IF(AND(B2="SELL",E2&gt;0,J2&lt;&gt;""),J2/E2,0)</f>
        <v/>
      </c>
      <c r="L2" s="42" t="n">
        <v>0.302</v>
      </c>
      <c r="M2" s="40">
        <f>IF(AND(B2="SELL",L2&gt;0),D2*L2,0)</f>
        <v/>
      </c>
      <c r="N2" s="36" t="n"/>
      <c r="O2" s="43">
        <f>IF(AND(B2="SELL",G2&lt;&gt;0),Q2/ABS(G2),0)</f>
        <v/>
      </c>
      <c r="P2" s="43">
        <f>IF(AND(B2="SELL",D2&gt;0),R2/D2,0)</f>
        <v/>
      </c>
      <c r="Q2" s="44">
        <f>IF(AND(B2="SELL",D2&gt;0,E2&gt;0),(D2/E2)+G2,0)</f>
        <v/>
      </c>
      <c r="R2" s="45">
        <f>IF(B2="SELL",Q2*F2,0)</f>
        <v/>
      </c>
      <c r="S2" s="24">
        <f>'Octubre 2025'!S110+R2</f>
        <v/>
      </c>
    </row>
    <row r="3" ht="15.75" customHeight="1" s="94">
      <c r="A3" s="46" t="n">
        <v>2</v>
      </c>
      <c r="B3" s="47" t="inlineStr">
        <is>
          <t>SELL</t>
        </is>
      </c>
      <c r="C3" s="48" t="n">
        <v>45962</v>
      </c>
      <c r="D3" s="49" t="n">
        <v>137000</v>
      </c>
      <c r="E3" s="50" t="n">
        <v>946.22</v>
      </c>
      <c r="F3" s="50" t="n">
        <v>946.22</v>
      </c>
      <c r="G3" s="51" t="n">
        <v>-137.06</v>
      </c>
      <c r="H3" s="51" t="n"/>
      <c r="I3" s="30" t="n">
        <v>462.74</v>
      </c>
      <c r="J3" s="51" t="n">
        <v>296.85</v>
      </c>
      <c r="K3" s="52">
        <f>IF(AND(B3="SELL",E3&gt;0,J3&lt;&gt;""),J3/E3,0)</f>
        <v/>
      </c>
      <c r="L3" s="52" t="n">
        <v>0.297</v>
      </c>
      <c r="M3" s="50">
        <f>IF(AND(B3="SELL",L3&gt;0),D3*L3,0)</f>
        <v/>
      </c>
      <c r="N3" s="46" t="inlineStr">
        <is>
          <t>Cambio uvida y francisco</t>
        </is>
      </c>
      <c r="O3" s="53">
        <f>IF(AND(B3="SELL",G3&lt;&gt;0),Q3/ABS(G3),0)</f>
        <v/>
      </c>
      <c r="P3" s="53">
        <f>IF(AND(B3="SELL",D3&gt;0),R3/D3,0)</f>
        <v/>
      </c>
      <c r="Q3" s="54">
        <f>IF(AND(B3="SELL",D3&gt;0,E3&gt;0),(D3/E3)+G3,0)</f>
        <v/>
      </c>
      <c r="R3" s="55">
        <f>IF(B3="SELL",Q3*F3,0)</f>
        <v/>
      </c>
      <c r="S3" s="35">
        <f>S2+R3</f>
        <v/>
      </c>
    </row>
    <row r="4" ht="15.75" customHeight="1" s="94">
      <c r="A4" s="36" t="n">
        <v>3</v>
      </c>
      <c r="B4" s="37" t="inlineStr">
        <is>
          <t>SELL</t>
        </is>
      </c>
      <c r="C4" s="38" t="n">
        <v>45962</v>
      </c>
      <c r="D4" s="39" t="n">
        <v>40000</v>
      </c>
      <c r="E4" s="40" t="n">
        <v>946.22</v>
      </c>
      <c r="F4" s="40" t="n">
        <v>946.22</v>
      </c>
      <c r="G4" s="41" t="n">
        <v>-39.77</v>
      </c>
      <c r="H4" s="41" t="n"/>
      <c r="I4" s="19" t="n">
        <v>422.97</v>
      </c>
      <c r="J4" s="41" t="n">
        <v>298.66</v>
      </c>
      <c r="K4" s="42">
        <f>IF(AND(B4="SELL",E4&gt;0,J4&lt;&gt;""),J4/E4,0)</f>
        <v/>
      </c>
      <c r="L4" s="42" t="n">
        <v>0.297</v>
      </c>
      <c r="M4" s="40">
        <f>IF(AND(B4="SELL",L4&gt;0),D4*L4,0)</f>
        <v/>
      </c>
      <c r="N4" s="36" t="inlineStr">
        <is>
          <t>cambio angel</t>
        </is>
      </c>
      <c r="O4" s="43">
        <f>IF(AND(B4="SELL",G4&lt;&gt;0),Q4/ABS(G4),0)</f>
        <v/>
      </c>
      <c r="P4" s="43">
        <f>IF(AND(B4="SELL",D4&gt;0),R4/D4,0)</f>
        <v/>
      </c>
      <c r="Q4" s="44">
        <f>IF(AND(B4="SELL",D4&gt;0,E4&gt;0),(D4/E4)+G4,0)</f>
        <v/>
      </c>
      <c r="R4" s="45">
        <f>IF(B4="SELL",Q4*F4,0)</f>
        <v/>
      </c>
      <c r="S4" s="24">
        <f>S3+R4</f>
        <v/>
      </c>
    </row>
    <row r="5" ht="15.75" customHeight="1" s="94">
      <c r="A5" s="46" t="n">
        <v>4</v>
      </c>
      <c r="B5" s="47" t="inlineStr">
        <is>
          <t>SELL</t>
        </is>
      </c>
      <c r="C5" s="48" t="n">
        <v>45962</v>
      </c>
      <c r="D5" s="49" t="n">
        <v>30000</v>
      </c>
      <c r="E5" s="50" t="n">
        <v>946.22</v>
      </c>
      <c r="F5" s="50" t="n">
        <v>946.22</v>
      </c>
      <c r="G5" s="51" t="n">
        <v>-30.01</v>
      </c>
      <c r="H5" s="51" t="n"/>
      <c r="I5" s="30" t="n">
        <v>392.96</v>
      </c>
      <c r="J5" s="51" t="n">
        <v>296.85</v>
      </c>
      <c r="K5" s="52">
        <f>IF(AND(B5="SELL",E5&gt;0,J5&lt;&gt;""),J5/E5,0)</f>
        <v/>
      </c>
      <c r="L5" s="52" t="n">
        <v>0.297</v>
      </c>
      <c r="M5" s="50">
        <f>IF(AND(B5="SELL",L5&gt;0),D5*L5,0)</f>
        <v/>
      </c>
      <c r="N5" s="46" t="n"/>
      <c r="O5" s="53">
        <f>IF(AND(B5="SELL",G5&lt;&gt;0),Q5/ABS(G5),0)</f>
        <v/>
      </c>
      <c r="P5" s="53">
        <f>IF(AND(B5="SELL",D5&gt;0),R5/D5,0)</f>
        <v/>
      </c>
      <c r="Q5" s="54">
        <f>IF(AND(B5="SELL",D5&gt;0,E5&gt;0),(D5/E5)+G5,0)</f>
        <v/>
      </c>
      <c r="R5" s="55">
        <f>IF(B5="SELL",Q5*F5,0)</f>
        <v/>
      </c>
      <c r="S5" s="35">
        <f>S4+R5</f>
        <v/>
      </c>
    </row>
    <row r="6" ht="15.75" customHeight="1" s="94">
      <c r="A6" s="36" t="n">
        <v>5</v>
      </c>
      <c r="B6" s="37" t="inlineStr">
        <is>
          <t>SELL</t>
        </is>
      </c>
      <c r="C6" s="38" t="n">
        <v>45962</v>
      </c>
      <c r="D6" s="39" t="n">
        <v>15000</v>
      </c>
      <c r="E6" s="40" t="n">
        <v>946.22</v>
      </c>
      <c r="F6" s="40" t="n">
        <v>946.22</v>
      </c>
      <c r="G6" s="41" t="n">
        <v>-15.11</v>
      </c>
      <c r="H6" s="41" t="n"/>
      <c r="I6" s="19" t="n">
        <v>377.85</v>
      </c>
      <c r="J6" s="41" t="n">
        <v>294.7</v>
      </c>
      <c r="K6" s="42">
        <f>IF(AND(B6="SELL",E6&gt;0,J6&lt;&gt;""),J6/E6,0)</f>
        <v/>
      </c>
      <c r="L6" s="42" t="n">
        <v>0.297</v>
      </c>
      <c r="M6" s="40">
        <f>IF(AND(B6="SELL",L6&gt;0),D6*L6,0)</f>
        <v/>
      </c>
      <c r="N6" s="36" t="n"/>
      <c r="O6" s="43">
        <f>IF(AND(B6="SELL",G6&lt;&gt;0),Q6/ABS(G6),0)</f>
        <v/>
      </c>
      <c r="P6" s="43">
        <f>IF(AND(B6="SELL",D6&gt;0),R6/D6,0)</f>
        <v/>
      </c>
      <c r="Q6" s="44">
        <f>IF(AND(B6="SELL",D6&gt;0,E6&gt;0),(D6/E6)+G6,0)</f>
        <v/>
      </c>
      <c r="R6" s="45">
        <f>IF(B6="SELL",Q6*F6,0)</f>
        <v/>
      </c>
      <c r="S6" s="24">
        <f>S5+R6</f>
        <v/>
      </c>
    </row>
    <row r="7" ht="15.75" customHeight="1" s="94">
      <c r="A7" s="46" t="n">
        <v>6</v>
      </c>
      <c r="B7" s="47" t="inlineStr">
        <is>
          <t>SELL</t>
        </is>
      </c>
      <c r="C7" s="48" t="n">
        <v>45963</v>
      </c>
      <c r="D7" s="49" t="n">
        <v>30000</v>
      </c>
      <c r="E7" s="50" t="n">
        <v>946.22</v>
      </c>
      <c r="F7" s="50" t="n">
        <v>946.22</v>
      </c>
      <c r="G7" s="51" t="n">
        <v>-30.4</v>
      </c>
      <c r="H7" s="51" t="n"/>
      <c r="I7" s="30" t="n">
        <v>347.45</v>
      </c>
      <c r="J7" s="51" t="n">
        <v>296.023</v>
      </c>
      <c r="K7" s="52">
        <f>IF(AND(B7="SELL",E7&gt;0,J7&lt;&gt;""),J7/E7,0)</f>
        <v/>
      </c>
      <c r="L7" s="52" t="n">
        <v>0.3</v>
      </c>
      <c r="M7" s="50">
        <f>IF(AND(B7="SELL",L7&gt;0),D7*L7,0)</f>
        <v/>
      </c>
      <c r="N7" s="46" t="n"/>
      <c r="O7" s="53">
        <f>IF(AND(B7="SELL",G7&lt;&gt;0),Q7/ABS(G7),0)</f>
        <v/>
      </c>
      <c r="P7" s="53">
        <f>IF(AND(B7="SELL",D7&gt;0),R7/D7,0)</f>
        <v/>
      </c>
      <c r="Q7" s="54">
        <f>IF(AND(B7="SELL",D7&gt;0,E7&gt;0),(D7/E7)+G7,0)</f>
        <v/>
      </c>
      <c r="R7" s="55">
        <f>IF(B7="SELL",Q7*F7,0)</f>
        <v/>
      </c>
      <c r="S7" s="35">
        <f>S6+R7</f>
        <v/>
      </c>
    </row>
    <row r="8" ht="15.75" customHeight="1" s="94">
      <c r="A8" s="36" t="n">
        <v>7</v>
      </c>
      <c r="B8" s="37" t="inlineStr">
        <is>
          <t>SELL</t>
        </is>
      </c>
      <c r="C8" s="38" t="n">
        <v>45964</v>
      </c>
      <c r="D8" s="39" t="n">
        <v>20000</v>
      </c>
      <c r="E8" s="40" t="n">
        <v>946.22</v>
      </c>
      <c r="F8" s="40" t="n">
        <v>946.22</v>
      </c>
      <c r="G8" s="41" t="n">
        <v>-20.06</v>
      </c>
      <c r="H8" s="41" t="n"/>
      <c r="I8" s="19" t="n">
        <v>327.39</v>
      </c>
      <c r="J8" s="41" t="n">
        <v>297.5</v>
      </c>
      <c r="K8" s="42">
        <f>IF(AND(B8="SELL",E8&gt;0,J8&lt;&gt;""),J8/E8,0)</f>
        <v/>
      </c>
      <c r="L8" s="42" t="n">
        <v>0.2985</v>
      </c>
      <c r="M8" s="40">
        <f>IF(AND(B8="SELL",L8&gt;0),D8*L8,0)</f>
        <v/>
      </c>
      <c r="N8" s="36" t="n"/>
      <c r="O8" s="43">
        <f>IF(AND(B8="SELL",G8&lt;&gt;0),Q8/ABS(G8),0)</f>
        <v/>
      </c>
      <c r="P8" s="43">
        <f>IF(AND(B8="SELL",D8&gt;0),R8/D8,0)</f>
        <v/>
      </c>
      <c r="Q8" s="44">
        <f>IF(AND(B8="SELL",D8&gt;0,E8&gt;0),(D8/E8)+G8,0)</f>
        <v/>
      </c>
      <c r="R8" s="45">
        <f>IF(B8="SELL",Q8*F8,0)</f>
        <v/>
      </c>
      <c r="S8" s="24">
        <f>S7+R8</f>
        <v/>
      </c>
    </row>
    <row r="9" ht="15.75" customHeight="1" s="94">
      <c r="A9" s="46" t="n">
        <v>8</v>
      </c>
      <c r="B9" s="47" t="inlineStr">
        <is>
          <t>SELL</t>
        </is>
      </c>
      <c r="C9" s="48" t="n">
        <v>45965</v>
      </c>
      <c r="D9" s="49" t="n">
        <v>140000</v>
      </c>
      <c r="E9" s="50" t="n">
        <v>946.22</v>
      </c>
      <c r="F9" s="50" t="n">
        <v>946.22</v>
      </c>
      <c r="G9" s="51" t="n">
        <v>-139.33</v>
      </c>
      <c r="H9" s="51" t="n"/>
      <c r="I9" s="30" t="n">
        <v>188.06</v>
      </c>
      <c r="J9" s="51" t="n">
        <v>307.46</v>
      </c>
      <c r="K9" s="52">
        <f>IF(AND(B9="SELL",E9&gt;0,J9&lt;&gt;""),J9/E9,0)</f>
        <v/>
      </c>
      <c r="L9" s="52" t="n">
        <v>0.306</v>
      </c>
      <c r="M9" s="50">
        <f>IF(AND(B9="SELL",L9&gt;0),D9*L9,0)</f>
        <v/>
      </c>
      <c r="N9" s="46" t="n"/>
      <c r="O9" s="53">
        <f>IF(AND(B9="SELL",G9&lt;&gt;0),Q9/ABS(G9),0)</f>
        <v/>
      </c>
      <c r="P9" s="53">
        <f>IF(AND(B9="SELL",D9&gt;0),R9/D9,0)</f>
        <v/>
      </c>
      <c r="Q9" s="54">
        <f>IF(AND(B9="SELL",D9&gt;0,E9&gt;0),(D9/E9)+G9,0)</f>
        <v/>
      </c>
      <c r="R9" s="55">
        <f>IF(B9="SELL",Q9*F9,0)</f>
        <v/>
      </c>
      <c r="S9" s="35">
        <f>S8+R9</f>
        <v/>
      </c>
    </row>
    <row r="10" ht="15.75" customHeight="1" s="94">
      <c r="A10" s="36" t="n">
        <v>9</v>
      </c>
      <c r="B10" s="37" t="inlineStr">
        <is>
          <t>SELL</t>
        </is>
      </c>
      <c r="C10" s="38" t="n">
        <v>45965</v>
      </c>
      <c r="D10" s="39" t="n">
        <v>50000</v>
      </c>
      <c r="E10" s="40" t="n">
        <v>946.22</v>
      </c>
      <c r="F10" s="40" t="n">
        <v>946.22</v>
      </c>
      <c r="G10" s="41" t="n">
        <v>-51.03</v>
      </c>
      <c r="H10" s="41" t="n"/>
      <c r="I10" s="19" t="n">
        <v>137.03</v>
      </c>
      <c r="J10" s="41" t="n">
        <v>299.5</v>
      </c>
      <c r="K10" s="42">
        <f>IF(AND(B10="SELL",E10&gt;0,J10&lt;&gt;""),J10/E10,0)</f>
        <v/>
      </c>
      <c r="L10" s="42" t="n">
        <v>0.306</v>
      </c>
      <c r="M10" s="40">
        <f>IF(AND(B10="SELL",L10&gt;0),D10*L10,0)</f>
        <v/>
      </c>
      <c r="N10" s="36" t="n"/>
      <c r="O10" s="43">
        <f>IF(AND(B10="SELL",G10&lt;&gt;0),Q10/ABS(G10),0)</f>
        <v/>
      </c>
      <c r="P10" s="43">
        <f>IF(AND(B10="SELL",D10&gt;0),R10/D10,0)</f>
        <v/>
      </c>
      <c r="Q10" s="44">
        <f>IF(AND(B10="SELL",D10&gt;0,E10&gt;0),(D10/E10)+G10,0)</f>
        <v/>
      </c>
      <c r="R10" s="45">
        <f>IF(B10="SELL",Q10*F10,0)</f>
        <v/>
      </c>
      <c r="S10" s="24">
        <f>S9+R10</f>
        <v/>
      </c>
    </row>
    <row r="11" ht="15.75" customHeight="1" s="94">
      <c r="A11" s="46" t="n">
        <v>10</v>
      </c>
      <c r="B11" s="47" t="inlineStr">
        <is>
          <t>SELL</t>
        </is>
      </c>
      <c r="C11" s="48" t="n">
        <v>45965</v>
      </c>
      <c r="D11" s="49" t="n">
        <v>15000</v>
      </c>
      <c r="E11" s="50" t="n">
        <v>946.22</v>
      </c>
      <c r="F11" s="50" t="n">
        <v>946.22</v>
      </c>
      <c r="G11" s="51" t="n">
        <v>-15.14</v>
      </c>
      <c r="H11" s="51" t="n"/>
      <c r="I11" s="30" t="n">
        <v>121.89</v>
      </c>
      <c r="J11" s="51" t="n">
        <v>303.011</v>
      </c>
      <c r="K11" s="52">
        <f>IF(AND(B11="SELL",E11&gt;0,J11&lt;&gt;""),J11/E11,0)</f>
        <v/>
      </c>
      <c r="L11" s="52" t="n">
        <v>0.306</v>
      </c>
      <c r="M11" s="50">
        <f>IF(AND(B11="SELL",L11&gt;0),D11*L11,0)</f>
        <v/>
      </c>
      <c r="N11" s="46" t="n"/>
      <c r="O11" s="53">
        <f>IF(AND(B11="SELL",G11&lt;&gt;0),Q11/ABS(G11),0)</f>
        <v/>
      </c>
      <c r="P11" s="53">
        <f>IF(AND(B11="SELL",D11&gt;0),R11/D11,0)</f>
        <v/>
      </c>
      <c r="Q11" s="54">
        <f>IF(AND(B11="SELL",D11&gt;0,E11&gt;0),(D11/E11)+G11,0)</f>
        <v/>
      </c>
      <c r="R11" s="55">
        <f>IF(B11="SELL",Q11*F11,0)</f>
        <v/>
      </c>
      <c r="S11" s="35">
        <f>S10+R11</f>
        <v/>
      </c>
    </row>
    <row r="12" ht="15.75" customHeight="1" s="94">
      <c r="A12" s="36" t="n">
        <v>11</v>
      </c>
      <c r="B12" s="37" t="inlineStr">
        <is>
          <t>SELL</t>
        </is>
      </c>
      <c r="C12" s="38" t="n">
        <v>45965</v>
      </c>
      <c r="D12" s="39" t="n">
        <v>40000</v>
      </c>
      <c r="E12" s="40" t="n">
        <v>946.22</v>
      </c>
      <c r="F12" s="40" t="n">
        <v>946.22</v>
      </c>
      <c r="G12" s="41" t="n">
        <v>-40.15</v>
      </c>
      <c r="H12" s="41" t="n"/>
      <c r="I12" s="19" t="n">
        <v>81.73999999999999</v>
      </c>
      <c r="J12" s="41" t="n">
        <v>304.81</v>
      </c>
      <c r="K12" s="42">
        <f>IF(AND(B12="SELL",E12&gt;0,J12&lt;&gt;""),J12/E12,0)</f>
        <v/>
      </c>
      <c r="L12" s="42" t="n">
        <v>0.306</v>
      </c>
      <c r="M12" s="40">
        <f>IF(AND(B12="SELL",L12&gt;0),D12*L12,0)</f>
        <v/>
      </c>
      <c r="N12" s="36" t="n"/>
      <c r="O12" s="43">
        <f>IF(AND(B12="SELL",G12&lt;&gt;0),Q12/ABS(G12),0)</f>
        <v/>
      </c>
      <c r="P12" s="43">
        <f>IF(AND(B12="SELL",D12&gt;0),R12/D12,0)</f>
        <v/>
      </c>
      <c r="Q12" s="44">
        <f>IF(AND(B12="SELL",D12&gt;0,E12&gt;0),(D12/E12)+G12,0)</f>
        <v/>
      </c>
      <c r="R12" s="45">
        <f>IF(B12="SELL",Q12*F12,0)</f>
        <v/>
      </c>
      <c r="S12" s="24">
        <f>S11+R12</f>
        <v/>
      </c>
    </row>
    <row r="13" ht="15.75" customHeight="1" s="94">
      <c r="A13" s="46" t="n">
        <v>12</v>
      </c>
      <c r="B13" s="47" t="inlineStr">
        <is>
          <t>SELL</t>
        </is>
      </c>
      <c r="C13" s="48" t="n">
        <v>45965</v>
      </c>
      <c r="D13" s="49" t="n">
        <v>50000</v>
      </c>
      <c r="E13" s="50" t="n">
        <v>946.22</v>
      </c>
      <c r="F13" s="50" t="n">
        <v>946.22</v>
      </c>
      <c r="G13" s="51" t="n">
        <v>-49.62</v>
      </c>
      <c r="H13" s="51" t="n"/>
      <c r="I13" s="30" t="n">
        <v>32.12</v>
      </c>
      <c r="J13" s="51" t="n">
        <v>3.375</v>
      </c>
      <c r="K13" s="52">
        <f>IF(AND(B13="SELL",E13&gt;0,J13&lt;&gt;""),J13/E13,0)</f>
        <v/>
      </c>
      <c r="L13" s="52" t="n">
        <v>0.00336</v>
      </c>
      <c r="M13" s="50">
        <f>IF(AND(B13="SELL",L13&gt;0),D13*L13,0)</f>
        <v/>
      </c>
      <c r="N13" s="46" t="n"/>
      <c r="O13" s="53">
        <f>IF(AND(B13="SELL",G13&lt;&gt;0),Q13/ABS(G13),0)</f>
        <v/>
      </c>
      <c r="P13" s="53">
        <f>IF(AND(B13="SELL",D13&gt;0),R13/D13,0)</f>
        <v/>
      </c>
      <c r="Q13" s="54">
        <f>IF(AND(B13="SELL",D13&gt;0,E13&gt;0),(D13/E13)+G13,0)</f>
        <v/>
      </c>
      <c r="R13" s="55">
        <f>IF(B13="SELL",Q13*F13,0)</f>
        <v/>
      </c>
      <c r="S13" s="35">
        <f>S12+R13</f>
        <v/>
      </c>
    </row>
    <row r="14" ht="15.75" customHeight="1" s="94">
      <c r="A14" s="36" t="n">
        <v>13</v>
      </c>
      <c r="B14" s="37" t="inlineStr">
        <is>
          <t>SELL</t>
        </is>
      </c>
      <c r="C14" s="38" t="n">
        <v>45965</v>
      </c>
      <c r="D14" s="39" t="n">
        <v>30000</v>
      </c>
      <c r="E14" s="40" t="n">
        <v>946.22</v>
      </c>
      <c r="F14" s="40" t="n">
        <v>946.22</v>
      </c>
      <c r="G14" s="41" t="n">
        <v>-30</v>
      </c>
      <c r="H14" s="41" t="n"/>
      <c r="I14" s="19" t="n">
        <v>2.11999999999998</v>
      </c>
      <c r="J14" s="41" t="n">
        <v>305.902</v>
      </c>
      <c r="K14" s="42">
        <f>IF(AND(B14="SELL",E14&gt;0,J14&lt;&gt;""),J14/E14,0)</f>
        <v/>
      </c>
      <c r="L14" s="42" t="n">
        <v>0.306</v>
      </c>
      <c r="M14" s="40">
        <f>IF(AND(B14="SELL",L14&gt;0),D14*L14,0)</f>
        <v/>
      </c>
      <c r="N14" s="36" t="n"/>
      <c r="O14" s="43">
        <f>IF(AND(B14="SELL",G14&lt;&gt;0),Q14/ABS(G14),0)</f>
        <v/>
      </c>
      <c r="P14" s="43">
        <f>IF(AND(B14="SELL",D14&gt;0),R14/D14,0)</f>
        <v/>
      </c>
      <c r="Q14" s="44">
        <f>IF(AND(B14="SELL",D14&gt;0,E14&gt;0),(D14/E14)+G14,0)</f>
        <v/>
      </c>
      <c r="R14" s="45">
        <f>IF(B14="SELL",Q14*F14,0)</f>
        <v/>
      </c>
      <c r="S14" s="24">
        <f>S13+R14</f>
        <v/>
      </c>
    </row>
    <row r="15" ht="15.75" customHeight="1" s="94">
      <c r="A15" s="46" t="n">
        <v>14</v>
      </c>
      <c r="B15" s="47" t="inlineStr">
        <is>
          <t>SELL</t>
        </is>
      </c>
      <c r="C15" s="48" t="n">
        <v>45965</v>
      </c>
      <c r="D15" s="49" t="n">
        <v>30000</v>
      </c>
      <c r="E15" s="50" t="n">
        <v>946.22</v>
      </c>
      <c r="F15" s="50" t="n">
        <v>946.22</v>
      </c>
      <c r="G15" s="51" t="n">
        <v>-29.78</v>
      </c>
      <c r="H15" s="51" t="n"/>
      <c r="I15" s="30" t="n">
        <v>-27.66</v>
      </c>
      <c r="J15" s="51" t="n">
        <v>308.15</v>
      </c>
      <c r="K15" s="52">
        <f>IF(AND(B15="SELL",E15&gt;0,J15&lt;&gt;""),J15/E15,0)</f>
        <v/>
      </c>
      <c r="L15" s="52" t="n">
        <v>0.306</v>
      </c>
      <c r="M15" s="50">
        <f>IF(AND(B15="SELL",L15&gt;0),D15*L15,0)</f>
        <v/>
      </c>
      <c r="N15" s="46" t="n"/>
      <c r="O15" s="53">
        <f>IF(AND(B15="SELL",G15&lt;&gt;0),Q15/ABS(G15),0)</f>
        <v/>
      </c>
      <c r="P15" s="53">
        <f>IF(AND(B15="SELL",D15&gt;0),R15/D15,0)</f>
        <v/>
      </c>
      <c r="Q15" s="54">
        <f>IF(AND(B15="SELL",D15&gt;0,E15&gt;0),(D15/E15)+G15,0)</f>
        <v/>
      </c>
      <c r="R15" s="55">
        <f>IF(B15="SELL",Q15*F15,0)</f>
        <v/>
      </c>
      <c r="S15" s="35">
        <f>S14+R15</f>
        <v/>
      </c>
    </row>
    <row r="16" ht="15.75" customHeight="1" s="94">
      <c r="A16" s="36" t="n">
        <v>15</v>
      </c>
      <c r="B16" s="37" t="inlineStr">
        <is>
          <t>SELL</t>
        </is>
      </c>
      <c r="C16" s="38" t="n">
        <v>45965</v>
      </c>
      <c r="D16" s="39" t="n">
        <v>30000</v>
      </c>
      <c r="E16" s="40" t="n">
        <v>946.22</v>
      </c>
      <c r="F16" s="40" t="n">
        <v>946.22</v>
      </c>
      <c r="G16" s="41" t="n">
        <v>-29.8</v>
      </c>
      <c r="H16" s="41" t="n"/>
      <c r="I16" s="19" t="n">
        <v>-57.46</v>
      </c>
      <c r="J16" s="41" t="n">
        <v>308.05</v>
      </c>
      <c r="K16" s="42">
        <f>IF(AND(B16="SELL",E16&gt;0,J16&lt;&gt;""),J16/E16,0)</f>
        <v/>
      </c>
      <c r="L16" s="42" t="n">
        <v>0.306</v>
      </c>
      <c r="M16" s="40">
        <f>IF(AND(B16="SELL",L16&gt;0),D16*L16,0)</f>
        <v/>
      </c>
      <c r="N16" s="36" t="n"/>
      <c r="O16" s="43">
        <f>IF(AND(B16="SELL",G16&lt;&gt;0),Q16/ABS(G16),0)</f>
        <v/>
      </c>
      <c r="P16" s="43">
        <f>IF(AND(B16="SELL",D16&gt;0),R16/D16,0)</f>
        <v/>
      </c>
      <c r="Q16" s="44">
        <f>IF(AND(B16="SELL",D16&gt;0,E16&gt;0),(D16/E16)+G16,0)</f>
        <v/>
      </c>
      <c r="R16" s="45">
        <f>IF(B16="SELL",Q16*F16,0)</f>
        <v/>
      </c>
      <c r="S16" s="24">
        <f>S15+R16</f>
        <v/>
      </c>
    </row>
    <row r="17" ht="15.75" customHeight="1" s="94">
      <c r="A17" s="46" t="n">
        <v>16</v>
      </c>
      <c r="B17" s="47" t="inlineStr">
        <is>
          <t>SELL</t>
        </is>
      </c>
      <c r="C17" s="48" t="n">
        <v>45966</v>
      </c>
      <c r="D17" s="49" t="n">
        <v>26000</v>
      </c>
      <c r="E17" s="50" t="n">
        <v>950.4299999999999</v>
      </c>
      <c r="F17" s="50" t="n">
        <v>950.4299999999999</v>
      </c>
      <c r="G17" s="51" t="n">
        <v>-25.91</v>
      </c>
      <c r="H17" s="51" t="n"/>
      <c r="I17" s="30" t="n">
        <v>-83.37</v>
      </c>
      <c r="J17" s="51" t="n">
        <v>308.921</v>
      </c>
      <c r="K17" s="52">
        <f>IF(AND(B17="SELL",E17&gt;0,J17&lt;&gt;""),J17/E17,0)</f>
        <v/>
      </c>
      <c r="L17" s="52" t="n">
        <v>0.308</v>
      </c>
      <c r="M17" s="50">
        <f>IF(AND(B17="SELL",L17&gt;0),D17*L17,0)</f>
        <v/>
      </c>
      <c r="N17" s="46" t="n"/>
      <c r="O17" s="53">
        <f>IF(AND(B17="SELL",G17&lt;&gt;0),Q17/ABS(G17),0)</f>
        <v/>
      </c>
      <c r="P17" s="53">
        <f>IF(AND(B17="SELL",D17&gt;0),R17/D17,0)</f>
        <v/>
      </c>
      <c r="Q17" s="54">
        <f>IF(AND(B17="SELL",D17&gt;0,E17&gt;0),(D17/E17)+G17,0)</f>
        <v/>
      </c>
      <c r="R17" s="55">
        <f>IF(B17="SELL",Q17*F17,0)</f>
        <v/>
      </c>
      <c r="S17" s="35">
        <f>S16+R17</f>
        <v/>
      </c>
    </row>
    <row r="18" ht="15.75" customHeight="1" s="94">
      <c r="A18" s="36" t="n">
        <v>17</v>
      </c>
      <c r="B18" s="37" t="inlineStr">
        <is>
          <t>SELL</t>
        </is>
      </c>
      <c r="C18" s="38" t="n">
        <v>45966</v>
      </c>
      <c r="D18" s="39" t="n">
        <v>10400</v>
      </c>
      <c r="E18" s="40" t="n">
        <v>950.4299999999999</v>
      </c>
      <c r="F18" s="40" t="n">
        <v>950.4299999999999</v>
      </c>
      <c r="G18" s="41" t="n">
        <v>-10.41</v>
      </c>
      <c r="H18" s="41" t="n"/>
      <c r="I18" s="19" t="n">
        <v>-93.78</v>
      </c>
      <c r="J18" s="41" t="n">
        <v>307.21</v>
      </c>
      <c r="K18" s="42">
        <f>IF(AND(B18="SELL",E18&gt;0,J18&lt;&gt;""),J18/E18,0)</f>
        <v/>
      </c>
      <c r="L18" s="42" t="n">
        <v>0.308</v>
      </c>
      <c r="M18" s="40">
        <f>IF(AND(B18="SELL",L18&gt;0),D18*L18,0)</f>
        <v/>
      </c>
      <c r="N18" s="36" t="n"/>
      <c r="O18" s="43">
        <f>IF(AND(B18="SELL",G18&lt;&gt;0),Q18/ABS(G18),0)</f>
        <v/>
      </c>
      <c r="P18" s="43">
        <f>IF(AND(B18="SELL",D18&gt;0),R18/D18,0)</f>
        <v/>
      </c>
      <c r="Q18" s="44">
        <f>IF(AND(B18="SELL",D18&gt;0,E18&gt;0),(D18/E18)+G18,0)</f>
        <v/>
      </c>
      <c r="R18" s="45">
        <f>IF(B18="SELL",Q18*F18,0)</f>
        <v/>
      </c>
      <c r="S18" s="24">
        <f>S17+R18</f>
        <v/>
      </c>
    </row>
    <row r="19" ht="15.75" customHeight="1" s="94">
      <c r="A19" s="46" t="n">
        <v>18</v>
      </c>
      <c r="B19" s="47" t="inlineStr">
        <is>
          <t>SELL</t>
        </is>
      </c>
      <c r="C19" s="48" t="n">
        <v>45966</v>
      </c>
      <c r="D19" s="49" t="n">
        <v>100000</v>
      </c>
      <c r="E19" s="50" t="n">
        <v>950.4299999999999</v>
      </c>
      <c r="F19" s="50" t="n">
        <v>950.4299999999999</v>
      </c>
      <c r="G19" s="51" t="n">
        <v>-98.70999999999999</v>
      </c>
      <c r="H19" s="51" t="n"/>
      <c r="I19" s="30" t="n">
        <v>-192.49</v>
      </c>
      <c r="J19" s="51" t="n">
        <v>312</v>
      </c>
      <c r="K19" s="52">
        <f>IF(AND(B19="SELL",E19&gt;0,J19&lt;&gt;""),J19/E19,0)</f>
        <v/>
      </c>
      <c r="L19" s="52" t="n">
        <v>0.308</v>
      </c>
      <c r="M19" s="50">
        <f>IF(AND(B19="SELL",L19&gt;0),D19*L19,0)</f>
        <v/>
      </c>
      <c r="N19" s="46" t="n"/>
      <c r="O19" s="53">
        <f>IF(AND(B19="SELL",G19&lt;&gt;0),Q19/ABS(G19),0)</f>
        <v/>
      </c>
      <c r="P19" s="53">
        <f>IF(AND(B19="SELL",D19&gt;0),R19/D19,0)</f>
        <v/>
      </c>
      <c r="Q19" s="54">
        <f>IF(AND(B19="SELL",D19&gt;0,E19&gt;0),(D19/E19)+G19,0)</f>
        <v/>
      </c>
      <c r="R19" s="55">
        <f>IF(B19="SELL",Q19*F19,0)</f>
        <v/>
      </c>
      <c r="S19" s="35">
        <f>S18+R19</f>
        <v/>
      </c>
    </row>
    <row r="20" ht="15.75" customHeight="1" s="94">
      <c r="A20" s="36" t="n">
        <v>19</v>
      </c>
      <c r="B20" s="37" t="inlineStr">
        <is>
          <t>SELL</t>
        </is>
      </c>
      <c r="C20" s="38" t="n">
        <v>45966</v>
      </c>
      <c r="D20" s="39" t="n">
        <v>24000</v>
      </c>
      <c r="E20" s="40" t="n">
        <v>950.4299999999999</v>
      </c>
      <c r="F20" s="40" t="n">
        <v>950.4299999999999</v>
      </c>
      <c r="G20" s="41" t="n">
        <v>-23.69</v>
      </c>
      <c r="H20" s="41" t="n"/>
      <c r="I20" s="19" t="n">
        <v>-216.18</v>
      </c>
      <c r="J20" s="41" t="n">
        <v>312</v>
      </c>
      <c r="K20" s="42">
        <f>IF(AND(B20="SELL",E20&gt;0,J20&lt;&gt;""),J20/E20,0)</f>
        <v/>
      </c>
      <c r="L20" s="42" t="n">
        <v>0.308</v>
      </c>
      <c r="M20" s="40">
        <f>IF(AND(B20="SELL",L20&gt;0),D20*L20,0)</f>
        <v/>
      </c>
      <c r="N20" s="36" t="n"/>
      <c r="O20" s="43">
        <f>IF(AND(B20="SELL",G20&lt;&gt;0),Q20/ABS(G20),0)</f>
        <v/>
      </c>
      <c r="P20" s="43">
        <f>IF(AND(B20="SELL",D20&gt;0),R20/D20,0)</f>
        <v/>
      </c>
      <c r="Q20" s="44">
        <f>IF(AND(B20="SELL",D20&gt;0,E20&gt;0),(D20/E20)+G20,0)</f>
        <v/>
      </c>
      <c r="R20" s="45">
        <f>IF(B20="SELL",Q20*F20,0)</f>
        <v/>
      </c>
      <c r="S20" s="24">
        <f>S19+R20</f>
        <v/>
      </c>
    </row>
    <row r="21" ht="15.75" customHeight="1" s="94">
      <c r="A21" s="46" t="n">
        <v>20</v>
      </c>
      <c r="B21" s="47" t="inlineStr">
        <is>
          <t>SELL</t>
        </is>
      </c>
      <c r="C21" s="48" t="n">
        <v>45966</v>
      </c>
      <c r="D21" s="49" t="n">
        <v>65000</v>
      </c>
      <c r="E21" s="50" t="n">
        <v>950.4299999999999</v>
      </c>
      <c r="F21" s="50" t="n">
        <v>950.4299999999999</v>
      </c>
      <c r="G21" s="51" t="n">
        <v>-64.13</v>
      </c>
      <c r="H21" s="51" t="n"/>
      <c r="I21" s="30" t="n">
        <v>-280.31</v>
      </c>
      <c r="J21" s="51" t="n">
        <v>312.16</v>
      </c>
      <c r="K21" s="52">
        <f>IF(AND(B21="SELL",E21&gt;0,J21&lt;&gt;""),J21/E21,0)</f>
        <v/>
      </c>
      <c r="L21" s="52" t="n">
        <v>0.308</v>
      </c>
      <c r="M21" s="50">
        <f>IF(AND(B21="SELL",L21&gt;0),D21*L21,0)</f>
        <v/>
      </c>
      <c r="N21" s="46" t="n"/>
      <c r="O21" s="53">
        <f>IF(AND(B21="SELL",G21&lt;&gt;0),Q21/ABS(G21),0)</f>
        <v/>
      </c>
      <c r="P21" s="53">
        <f>IF(AND(B21="SELL",D21&gt;0),R21/D21,0)</f>
        <v/>
      </c>
      <c r="Q21" s="54">
        <f>IF(AND(B21="SELL",D21&gt;0,E21&gt;0),(D21/E21)+G21,0)</f>
        <v/>
      </c>
      <c r="R21" s="55">
        <f>IF(B21="SELL",Q21*F21,0)</f>
        <v/>
      </c>
      <c r="S21" s="35">
        <f>S20+R21</f>
        <v/>
      </c>
    </row>
    <row r="22" ht="15.75" customHeight="1" s="94">
      <c r="A22" s="36" t="n">
        <v>21</v>
      </c>
      <c r="B22" s="37" t="inlineStr">
        <is>
          <t>SELL</t>
        </is>
      </c>
      <c r="C22" s="38" t="n">
        <v>45966</v>
      </c>
      <c r="D22" s="39" t="n">
        <v>60000</v>
      </c>
      <c r="E22" s="40" t="n">
        <v>950.4299999999999</v>
      </c>
      <c r="F22" s="40" t="n">
        <v>950.4299999999999</v>
      </c>
      <c r="G22" s="41" t="n">
        <v>-58.87</v>
      </c>
      <c r="H22" s="41" t="n"/>
      <c r="I22" s="19" t="n">
        <v>-339.18</v>
      </c>
      <c r="J22" s="41" t="n">
        <v>313.9</v>
      </c>
      <c r="K22" s="42">
        <f>IF(AND(B22="SELL",E22&gt;0,J22&lt;&gt;""),J22/E22,0)</f>
        <v/>
      </c>
      <c r="L22" s="42" t="n">
        <v>0.308</v>
      </c>
      <c r="M22" s="40">
        <f>IF(AND(B22="SELL",L22&gt;0),D22*L22,0)</f>
        <v/>
      </c>
      <c r="N22" s="36" t="n"/>
      <c r="O22" s="43">
        <f>IF(AND(B22="SELL",G22&lt;&gt;0),Q22/ABS(G22),0)</f>
        <v/>
      </c>
      <c r="P22" s="43">
        <f>IF(AND(B22="SELL",D22&gt;0),R22/D22,0)</f>
        <v/>
      </c>
      <c r="Q22" s="44">
        <f>IF(AND(B22="SELL",D22&gt;0,E22&gt;0),(D22/E22)+G22,0)</f>
        <v/>
      </c>
      <c r="R22" s="45">
        <f>IF(B22="SELL",Q22*F22,0)</f>
        <v/>
      </c>
      <c r="S22" s="24">
        <f>S21+R22</f>
        <v/>
      </c>
    </row>
    <row r="23" ht="15.75" customHeight="1" s="94">
      <c r="A23" s="25" t="n">
        <v>22</v>
      </c>
      <c r="B23" s="26" t="inlineStr">
        <is>
          <t>BUY</t>
        </is>
      </c>
      <c r="C23" s="27" t="n">
        <v>45966</v>
      </c>
      <c r="D23" s="28" t="n">
        <v>1527300</v>
      </c>
      <c r="E23" s="29" t="n">
        <v>950.4299999999999</v>
      </c>
      <c r="F23" s="29" t="n">
        <v>950.4299999999999</v>
      </c>
      <c r="G23" s="30" t="n">
        <v>1606.95</v>
      </c>
      <c r="H23" s="30" t="n"/>
      <c r="I23" s="30" t="n">
        <v>1267.77</v>
      </c>
      <c r="J23" s="30" t="n"/>
      <c r="K23" s="31">
        <f>IF(AND(B23="SELL",E23&gt;0,J23&lt;&gt;""),J23/E23,0)</f>
        <v/>
      </c>
      <c r="L23" s="31" t="n"/>
      <c r="M23" s="29">
        <f>IF(AND(B23="SELL",L23&gt;0),D23*L23,0)</f>
        <v/>
      </c>
      <c r="N23" s="25" t="n"/>
      <c r="O23" s="32">
        <f>IF(AND(B23="SELL",G23&lt;&gt;0),Q23/ABS(G23),0)</f>
        <v/>
      </c>
      <c r="P23" s="32">
        <f>IF(AND(B23="SELL",D23&gt;0),R23/D23,0)</f>
        <v/>
      </c>
      <c r="Q23" s="33">
        <f>IF(AND(B23="SELL",D23&gt;0,E23&gt;0),(D23/E23)+G23,0)</f>
        <v/>
      </c>
      <c r="R23" s="34">
        <f>IF(B23="SELL",Q23*F23,0)</f>
        <v/>
      </c>
      <c r="S23" s="35">
        <f>S22+R23</f>
        <v/>
      </c>
    </row>
    <row r="24" ht="15.75" customHeight="1" s="94">
      <c r="A24" s="36" t="n">
        <v>23</v>
      </c>
      <c r="B24" s="37" t="inlineStr">
        <is>
          <t>SELL</t>
        </is>
      </c>
      <c r="C24" s="38" t="n">
        <v>45967</v>
      </c>
      <c r="D24" s="39" t="n">
        <v>20000</v>
      </c>
      <c r="E24" s="40" t="n">
        <v>950.4299999999999</v>
      </c>
      <c r="F24" s="40" t="n">
        <v>950.4299999999999</v>
      </c>
      <c r="G24" s="41" t="n">
        <v>-19.94</v>
      </c>
      <c r="H24" s="41" t="n"/>
      <c r="I24" s="19" t="n">
        <v>1247.83</v>
      </c>
      <c r="J24" s="41" t="n">
        <v>312.851</v>
      </c>
      <c r="K24" s="42">
        <f>IF(AND(B24="SELL",E24&gt;0,J24&lt;&gt;""),J24/E24,0)</f>
        <v/>
      </c>
      <c r="L24" s="42" t="n">
        <v>0.312</v>
      </c>
      <c r="M24" s="40">
        <f>IF(AND(B24="SELL",L24&gt;0),D24*L24,0)</f>
        <v/>
      </c>
      <c r="N24" s="36" t="n"/>
      <c r="O24" s="43">
        <f>IF(AND(B24="SELL",G24&lt;&gt;0),Q24/ABS(G24),0)</f>
        <v/>
      </c>
      <c r="P24" s="43">
        <f>IF(AND(B24="SELL",D24&gt;0),R24/D24,0)</f>
        <v/>
      </c>
      <c r="Q24" s="44">
        <f>IF(AND(B24="SELL",D24&gt;0,E24&gt;0),(D24/E24)+G24,0)</f>
        <v/>
      </c>
      <c r="R24" s="45">
        <f>IF(B24="SELL",Q24*F24,0)</f>
        <v/>
      </c>
      <c r="S24" s="24">
        <f>S23+R24</f>
        <v/>
      </c>
    </row>
    <row r="25" ht="15.75" customHeight="1" s="94">
      <c r="A25" s="46" t="n">
        <v>24</v>
      </c>
      <c r="B25" s="47" t="inlineStr">
        <is>
          <t>SELL</t>
        </is>
      </c>
      <c r="C25" s="48" t="n">
        <v>45968</v>
      </c>
      <c r="D25" s="49" t="n">
        <v>15000</v>
      </c>
      <c r="E25" s="50" t="n">
        <v>950.4299999999999</v>
      </c>
      <c r="F25" s="50" t="n">
        <v>950.4299999999999</v>
      </c>
      <c r="G25" s="51" t="n">
        <v>-15.07</v>
      </c>
      <c r="H25" s="51" t="n"/>
      <c r="I25" s="30" t="n">
        <v>1232.76</v>
      </c>
      <c r="J25" s="51" t="n">
        <v>310.51</v>
      </c>
      <c r="K25" s="52">
        <f>IF(AND(B25="SELL",E25&gt;0,J25&lt;&gt;""),J25/E25,0)</f>
        <v/>
      </c>
      <c r="L25" s="52" t="n">
        <v>0.312</v>
      </c>
      <c r="M25" s="50">
        <f>IF(AND(B25="SELL",L25&gt;0),D25*L25,0)</f>
        <v/>
      </c>
      <c r="N25" s="46" t="n"/>
      <c r="O25" s="53">
        <f>IF(AND(B25="SELL",G25&lt;&gt;0),Q25/ABS(G25),0)</f>
        <v/>
      </c>
      <c r="P25" s="53">
        <f>IF(AND(B25="SELL",D25&gt;0),R25/D25,0)</f>
        <v/>
      </c>
      <c r="Q25" s="54">
        <f>IF(AND(B25="SELL",D25&gt;0,E25&gt;0),(D25/E25)+G25,0)</f>
        <v/>
      </c>
      <c r="R25" s="55">
        <f>IF(B25="SELL",Q25*F25,0)</f>
        <v/>
      </c>
      <c r="S25" s="35">
        <f>S24+R25</f>
        <v/>
      </c>
    </row>
    <row r="26" ht="15.75" customHeight="1" s="94">
      <c r="A26" s="36" t="n">
        <v>25</v>
      </c>
      <c r="B26" s="37" t="inlineStr">
        <is>
          <t>SELL</t>
        </is>
      </c>
      <c r="C26" s="38" t="n">
        <v>45968</v>
      </c>
      <c r="D26" s="39" t="n">
        <v>10000</v>
      </c>
      <c r="E26" s="40" t="n">
        <v>950.4299999999999</v>
      </c>
      <c r="F26" s="40" t="n">
        <v>950.4299999999999</v>
      </c>
      <c r="G26" s="41" t="n">
        <v>-10.09</v>
      </c>
      <c r="H26" s="41" t="n"/>
      <c r="I26" s="19" t="n">
        <v>1222.67</v>
      </c>
      <c r="J26" s="41" t="n">
        <v>309.001</v>
      </c>
      <c r="K26" s="42">
        <f>IF(AND(B26="SELL",E26&gt;0,J26&lt;&gt;""),J26/E26,0)</f>
        <v/>
      </c>
      <c r="L26" s="42" t="n">
        <v>0.312</v>
      </c>
      <c r="M26" s="40">
        <f>IF(AND(B26="SELL",L26&gt;0),D26*L26,0)</f>
        <v/>
      </c>
      <c r="N26" s="36" t="n"/>
      <c r="O26" s="43">
        <f>IF(AND(B26="SELL",G26&lt;&gt;0),Q26/ABS(G26),0)</f>
        <v/>
      </c>
      <c r="P26" s="43">
        <f>IF(AND(B26="SELL",D26&gt;0),R26/D26,0)</f>
        <v/>
      </c>
      <c r="Q26" s="44">
        <f>IF(AND(B26="SELL",D26&gt;0,E26&gt;0),(D26/E26)+G26,0)</f>
        <v/>
      </c>
      <c r="R26" s="45">
        <f>IF(B26="SELL",Q26*F26,0)</f>
        <v/>
      </c>
      <c r="S26" s="24">
        <f>S25+R26</f>
        <v/>
      </c>
    </row>
    <row r="27" ht="15.75" customHeight="1" s="94">
      <c r="A27" s="46" t="n">
        <v>26</v>
      </c>
      <c r="B27" s="47" t="inlineStr">
        <is>
          <t>SELL</t>
        </is>
      </c>
      <c r="C27" s="48" t="n">
        <v>45968</v>
      </c>
      <c r="D27" s="49" t="n">
        <v>50000</v>
      </c>
      <c r="E27" s="50" t="n">
        <v>950.4299999999999</v>
      </c>
      <c r="F27" s="50" t="n">
        <v>950.4299999999999</v>
      </c>
      <c r="G27" s="51" t="n">
        <v>-49.84</v>
      </c>
      <c r="H27" s="51" t="n"/>
      <c r="I27" s="30" t="n">
        <v>1172.83</v>
      </c>
      <c r="J27" s="51" t="n">
        <v>313</v>
      </c>
      <c r="K27" s="52">
        <f>IF(AND(B27="SELL",E27&gt;0,J27&lt;&gt;""),J27/E27,0)</f>
        <v/>
      </c>
      <c r="L27" s="52" t="n">
        <v>0.312</v>
      </c>
      <c r="M27" s="50">
        <f>IF(AND(B27="SELL",L27&gt;0),D27*L27,0)</f>
        <v/>
      </c>
      <c r="N27" s="46" t="n"/>
      <c r="O27" s="53">
        <f>IF(AND(B27="SELL",G27&lt;&gt;0),Q27/ABS(G27),0)</f>
        <v/>
      </c>
      <c r="P27" s="53">
        <f>IF(AND(B27="SELL",D27&gt;0),R27/D27,0)</f>
        <v/>
      </c>
      <c r="Q27" s="54">
        <f>IF(AND(B27="SELL",D27&gt;0,E27&gt;0),(D27/E27)+G27,0)</f>
        <v/>
      </c>
      <c r="R27" s="55">
        <f>IF(B27="SELL",Q27*F27,0)</f>
        <v/>
      </c>
      <c r="S27" s="35">
        <f>S26+R27</f>
        <v/>
      </c>
    </row>
    <row r="28" ht="15.75" customHeight="1" s="94">
      <c r="A28" s="36" t="n">
        <v>27</v>
      </c>
      <c r="B28" s="37" t="inlineStr">
        <is>
          <t>SELL</t>
        </is>
      </c>
      <c r="C28" s="38" t="n">
        <v>45968</v>
      </c>
      <c r="D28" s="39" t="n">
        <v>141800</v>
      </c>
      <c r="E28" s="40" t="n">
        <v>950.4299999999999</v>
      </c>
      <c r="F28" s="40" t="n">
        <v>950.4299999999999</v>
      </c>
      <c r="G28" s="41" t="n">
        <v>-141.18</v>
      </c>
      <c r="H28" s="41" t="n"/>
      <c r="I28" s="19" t="n">
        <v>1031.65</v>
      </c>
      <c r="J28" s="41" t="n">
        <v>313.51</v>
      </c>
      <c r="K28" s="42">
        <f>IF(AND(B28="SELL",E28&gt;0,J28&lt;&gt;""),J28/E28,0)</f>
        <v/>
      </c>
      <c r="L28" s="42" t="n">
        <v>0.312</v>
      </c>
      <c r="M28" s="40">
        <f>IF(AND(B28="SELL",L28&gt;0),D28*L28,0)</f>
        <v/>
      </c>
      <c r="N28" s="36" t="n"/>
      <c r="O28" s="43">
        <f>IF(AND(B28="SELL",G28&lt;&gt;0),Q28/ABS(G28),0)</f>
        <v/>
      </c>
      <c r="P28" s="43">
        <f>IF(AND(B28="SELL",D28&gt;0),R28/D28,0)</f>
        <v/>
      </c>
      <c r="Q28" s="44">
        <f>IF(AND(B28="SELL",D28&gt;0,E28&gt;0),(D28/E28)+G28,0)</f>
        <v/>
      </c>
      <c r="R28" s="45">
        <f>IF(B28="SELL",Q28*F28,0)</f>
        <v/>
      </c>
      <c r="S28" s="24">
        <f>S27+R28</f>
        <v/>
      </c>
    </row>
    <row r="29" ht="15.75" customHeight="1" s="94">
      <c r="A29" s="46" t="n">
        <v>28</v>
      </c>
      <c r="B29" s="47" t="inlineStr">
        <is>
          <t>SELL</t>
        </is>
      </c>
      <c r="C29" s="48" t="n">
        <v>45968</v>
      </c>
      <c r="D29" s="49" t="n">
        <v>50000</v>
      </c>
      <c r="E29" s="50" t="n">
        <v>950.4299999999999</v>
      </c>
      <c r="F29" s="50" t="n">
        <v>950.4299999999999</v>
      </c>
      <c r="G29" s="51" t="n">
        <v>-49.79</v>
      </c>
      <c r="H29" s="51" t="n"/>
      <c r="I29" s="30" t="n">
        <v>981.86</v>
      </c>
      <c r="J29" s="51" t="n">
        <v>313.3</v>
      </c>
      <c r="K29" s="52">
        <f>IF(AND(B29="SELL",E29&gt;0,J29&lt;&gt;""),J29/E29,0)</f>
        <v/>
      </c>
      <c r="L29" s="52" t="n">
        <v>0.312</v>
      </c>
      <c r="M29" s="50">
        <f>IF(AND(B29="SELL",L29&gt;0),D29*L29,0)</f>
        <v/>
      </c>
      <c r="N29" s="46" t="n"/>
      <c r="O29" s="53">
        <f>IF(AND(B29="SELL",G29&lt;&gt;0),Q29/ABS(G29),0)</f>
        <v/>
      </c>
      <c r="P29" s="53">
        <f>IF(AND(B29="SELL",D29&gt;0),R29/D29,0)</f>
        <v/>
      </c>
      <c r="Q29" s="54">
        <f>IF(AND(B29="SELL",D29&gt;0,E29&gt;0),(D29/E29)+G29,0)</f>
        <v/>
      </c>
      <c r="R29" s="55">
        <f>IF(B29="SELL",Q29*F29,0)</f>
        <v/>
      </c>
      <c r="S29" s="35">
        <f>S28+R29</f>
        <v/>
      </c>
    </row>
    <row r="30" ht="15.75" customHeight="1" s="94">
      <c r="A30" s="36" t="n">
        <v>29</v>
      </c>
      <c r="B30" s="37" t="inlineStr">
        <is>
          <t>SELL</t>
        </is>
      </c>
      <c r="C30" s="38" t="n">
        <v>45968</v>
      </c>
      <c r="D30" s="39" t="n">
        <v>40000</v>
      </c>
      <c r="E30" s="40" t="n">
        <v>950.4299999999999</v>
      </c>
      <c r="F30" s="40" t="n">
        <v>950.4299999999999</v>
      </c>
      <c r="G30" s="41" t="n">
        <v>-39.73</v>
      </c>
      <c r="H30" s="41" t="n"/>
      <c r="I30" s="19" t="n">
        <v>942.13</v>
      </c>
      <c r="J30" s="41" t="n">
        <v>314.1</v>
      </c>
      <c r="K30" s="42">
        <f>IF(AND(B30="SELL",E30&gt;0,J30&lt;&gt;""),J30/E30,0)</f>
        <v/>
      </c>
      <c r="L30" s="42" t="n">
        <v>0.312</v>
      </c>
      <c r="M30" s="40">
        <f>IF(AND(B30="SELL",L30&gt;0),D30*L30,0)</f>
        <v/>
      </c>
      <c r="N30" s="36" t="n"/>
      <c r="O30" s="43">
        <f>IF(AND(B30="SELL",G30&lt;&gt;0),Q30/ABS(G30),0)</f>
        <v/>
      </c>
      <c r="P30" s="43">
        <f>IF(AND(B30="SELL",D30&gt;0),R30/D30,0)</f>
        <v/>
      </c>
      <c r="Q30" s="44">
        <f>IF(AND(B30="SELL",D30&gt;0,E30&gt;0),(D30/E30)+G30,0)</f>
        <v/>
      </c>
      <c r="R30" s="45">
        <f>IF(B30="SELL",Q30*F30,0)</f>
        <v/>
      </c>
      <c r="S30" s="24">
        <f>S29+R30</f>
        <v/>
      </c>
    </row>
    <row r="31" ht="15.75" customHeight="1" s="94">
      <c r="A31" s="46" t="n">
        <v>30</v>
      </c>
      <c r="B31" s="47" t="inlineStr">
        <is>
          <t>SELL</t>
        </is>
      </c>
      <c r="C31" s="48" t="n">
        <v>45968</v>
      </c>
      <c r="D31" s="49" t="n">
        <v>15000</v>
      </c>
      <c r="E31" s="50" t="n">
        <v>950.4299999999999</v>
      </c>
      <c r="F31" s="50" t="n">
        <v>950.4299999999999</v>
      </c>
      <c r="G31" s="51" t="n">
        <v>-15.04</v>
      </c>
      <c r="H31" s="51" t="n"/>
      <c r="I31" s="30" t="n">
        <v>927.09</v>
      </c>
      <c r="J31" s="51" t="n">
        <v>311</v>
      </c>
      <c r="K31" s="52">
        <f>IF(AND(B31="SELL",E31&gt;0,J31&lt;&gt;""),J31/E31,0)</f>
        <v/>
      </c>
      <c r="L31" s="52" t="n">
        <v>0.312</v>
      </c>
      <c r="M31" s="50">
        <f>IF(AND(B31="SELL",L31&gt;0),D31*L31,0)</f>
        <v/>
      </c>
      <c r="N31" s="46" t="n"/>
      <c r="O31" s="53">
        <f>IF(AND(B31="SELL",G31&lt;&gt;0),Q31/ABS(G31),0)</f>
        <v/>
      </c>
      <c r="P31" s="53">
        <f>IF(AND(B31="SELL",D31&gt;0),R31/D31,0)</f>
        <v/>
      </c>
      <c r="Q31" s="54">
        <f>IF(AND(B31="SELL",D31&gt;0,E31&gt;0),(D31/E31)+G31,0)</f>
        <v/>
      </c>
      <c r="R31" s="55">
        <f>IF(B31="SELL",Q31*F31,0)</f>
        <v/>
      </c>
      <c r="S31" s="35">
        <f>S30+R31</f>
        <v/>
      </c>
    </row>
    <row r="32" ht="15.75" customHeight="1" s="94">
      <c r="A32" s="36" t="n">
        <v>31</v>
      </c>
      <c r="B32" s="37" t="inlineStr">
        <is>
          <t>SELL</t>
        </is>
      </c>
      <c r="C32" s="38" t="n">
        <v>45968</v>
      </c>
      <c r="D32" s="39" t="n">
        <v>20000</v>
      </c>
      <c r="E32" s="40" t="n">
        <v>950.4299999999999</v>
      </c>
      <c r="F32" s="40" t="n">
        <v>950.4299999999999</v>
      </c>
      <c r="G32" s="41" t="n">
        <v>-19.97</v>
      </c>
      <c r="H32" s="41" t="n"/>
      <c r="I32" s="19" t="n">
        <v>907.12</v>
      </c>
      <c r="J32" s="41" t="n">
        <v>312.325</v>
      </c>
      <c r="K32" s="42">
        <f>IF(AND(B32="SELL",E32&gt;0,J32&lt;&gt;""),J32/E32,0)</f>
        <v/>
      </c>
      <c r="L32" s="42" t="n">
        <v>0.312</v>
      </c>
      <c r="M32" s="40">
        <f>IF(AND(B32="SELL",L32&gt;0),D32*L32,0)</f>
        <v/>
      </c>
      <c r="N32" s="36" t="n"/>
      <c r="O32" s="43">
        <f>IF(AND(B32="SELL",G32&lt;&gt;0),Q32/ABS(G32),0)</f>
        <v/>
      </c>
      <c r="P32" s="43">
        <f>IF(AND(B32="SELL",D32&gt;0),R32/D32,0)</f>
        <v/>
      </c>
      <c r="Q32" s="44">
        <f>IF(AND(B32="SELL",D32&gt;0,E32&gt;0),(D32/E32)+G32,0)</f>
        <v/>
      </c>
      <c r="R32" s="45">
        <f>IF(B32="SELL",Q32*F32,0)</f>
        <v/>
      </c>
      <c r="S32" s="24">
        <f>S31+R32</f>
        <v/>
      </c>
    </row>
    <row r="33" ht="15.75" customHeight="1" s="94">
      <c r="A33" s="46" t="n">
        <v>32</v>
      </c>
      <c r="B33" s="47" t="inlineStr">
        <is>
          <t>SELL</t>
        </is>
      </c>
      <c r="C33" s="48" t="n">
        <v>45968</v>
      </c>
      <c r="D33" s="49" t="n">
        <v>10000</v>
      </c>
      <c r="E33" s="50" t="n">
        <v>950.4299999999999</v>
      </c>
      <c r="F33" s="50" t="n">
        <v>950.4299999999999</v>
      </c>
      <c r="G33" s="51" t="n">
        <v>-9.99</v>
      </c>
      <c r="H33" s="51" t="n"/>
      <c r="I33" s="30" t="n">
        <v>897.13</v>
      </c>
      <c r="J33" s="51" t="n">
        <v>312.002</v>
      </c>
      <c r="K33" s="52">
        <f>IF(AND(B33="SELL",E33&gt;0,J33&lt;&gt;""),J33/E33,0)</f>
        <v/>
      </c>
      <c r="L33" s="52" t="n">
        <v>0.312</v>
      </c>
      <c r="M33" s="50">
        <f>IF(AND(B33="SELL",L33&gt;0),D33*L33,0)</f>
        <v/>
      </c>
      <c r="N33" s="46" t="n"/>
      <c r="O33" s="53">
        <f>IF(AND(B33="SELL",G33&lt;&gt;0),Q33/ABS(G33),0)</f>
        <v/>
      </c>
      <c r="P33" s="53">
        <f>IF(AND(B33="SELL",D33&gt;0),R33/D33,0)</f>
        <v/>
      </c>
      <c r="Q33" s="54">
        <f>IF(AND(B33="SELL",D33&gt;0,E33&gt;0),(D33/E33)+G33,0)</f>
        <v/>
      </c>
      <c r="R33" s="55">
        <f>IF(B33="SELL",Q33*F33,0)</f>
        <v/>
      </c>
      <c r="S33" s="35">
        <f>S32+R33</f>
        <v/>
      </c>
    </row>
    <row r="34" ht="15.75" customHeight="1" s="94">
      <c r="A34" s="36" t="n">
        <v>33</v>
      </c>
      <c r="B34" s="37" t="inlineStr">
        <is>
          <t>SELL</t>
        </is>
      </c>
      <c r="C34" s="38" t="n">
        <v>45969</v>
      </c>
      <c r="D34" s="39" t="n">
        <v>10000</v>
      </c>
      <c r="E34" s="40" t="n">
        <v>950.4299999999999</v>
      </c>
      <c r="F34" s="40" t="n">
        <v>950.4299999999999</v>
      </c>
      <c r="G34" s="41" t="n">
        <v>-10.18</v>
      </c>
      <c r="H34" s="41" t="n"/>
      <c r="I34" s="19" t="n">
        <v>886.95</v>
      </c>
      <c r="J34" s="41" t="n">
        <v>307.301</v>
      </c>
      <c r="K34" s="42">
        <f>IF(AND(B34="SELL",E34&gt;0,J34&lt;&gt;""),J34/E34,0)</f>
        <v/>
      </c>
      <c r="L34" s="42" t="n">
        <v>0.313</v>
      </c>
      <c r="M34" s="40">
        <f>IF(AND(B34="SELL",L34&gt;0),D34*L34,0)</f>
        <v/>
      </c>
      <c r="N34" s="36" t="n"/>
      <c r="O34" s="43">
        <f>IF(AND(B34="SELL",G34&lt;&gt;0),Q34/ABS(G34),0)</f>
        <v/>
      </c>
      <c r="P34" s="43">
        <f>IF(AND(B34="SELL",D34&gt;0),R34/D34,0)</f>
        <v/>
      </c>
      <c r="Q34" s="44">
        <f>IF(AND(B34="SELL",D34&gt;0,E34&gt;0),(D34/E34)+G34,0)</f>
        <v/>
      </c>
      <c r="R34" s="45">
        <f>IF(B34="SELL",Q34*F34,0)</f>
        <v/>
      </c>
      <c r="S34" s="24">
        <f>S33+R34</f>
        <v/>
      </c>
    </row>
    <row r="35" ht="15.75" customHeight="1" s="94">
      <c r="A35" s="46" t="n">
        <v>34</v>
      </c>
      <c r="B35" s="47" t="inlineStr">
        <is>
          <t>SELL</t>
        </is>
      </c>
      <c r="C35" s="48" t="n">
        <v>45969</v>
      </c>
      <c r="D35" s="49" t="n">
        <v>43000</v>
      </c>
      <c r="E35" s="50" t="n">
        <v>950.4299999999999</v>
      </c>
      <c r="F35" s="50" t="n">
        <v>950.4299999999999</v>
      </c>
      <c r="G35" s="51" t="n">
        <v>-43.26</v>
      </c>
      <c r="H35" s="51" t="n"/>
      <c r="I35" s="30" t="n">
        <v>843.6900000000001</v>
      </c>
      <c r="J35" s="51" t="n">
        <v>311.102</v>
      </c>
      <c r="K35" s="52">
        <f>IF(AND(B35="SELL",E35&gt;0,J35&lt;&gt;""),J35/E35,0)</f>
        <v/>
      </c>
      <c r="L35" s="52" t="n">
        <v>0.313</v>
      </c>
      <c r="M35" s="50">
        <f>IF(AND(B35="SELL",L35&gt;0),D35*L35,0)</f>
        <v/>
      </c>
      <c r="N35" s="46" t="n"/>
      <c r="O35" s="53">
        <f>IF(AND(B35="SELL",G35&lt;&gt;0),Q35/ABS(G35),0)</f>
        <v/>
      </c>
      <c r="P35" s="53">
        <f>IF(AND(B35="SELL",D35&gt;0),R35/D35,0)</f>
        <v/>
      </c>
      <c r="Q35" s="54">
        <f>IF(AND(B35="SELL",D35&gt;0,E35&gt;0),(D35/E35)+G35,0)</f>
        <v/>
      </c>
      <c r="R35" s="55">
        <f>IF(B35="SELL",Q35*F35,0)</f>
        <v/>
      </c>
      <c r="S35" s="35">
        <f>S34+R35</f>
        <v/>
      </c>
    </row>
    <row r="36" ht="15.75" customHeight="1" s="94">
      <c r="A36" s="36" t="n">
        <v>35</v>
      </c>
      <c r="B36" s="37" t="inlineStr">
        <is>
          <t>SELL</t>
        </is>
      </c>
      <c r="C36" s="38" t="n">
        <v>45970</v>
      </c>
      <c r="D36" s="39" t="n">
        <v>18700</v>
      </c>
      <c r="E36" s="40" t="n">
        <v>950.4299999999999</v>
      </c>
      <c r="F36" s="40" t="n">
        <v>950.4299999999999</v>
      </c>
      <c r="G36" s="41" t="n">
        <v>-18.66</v>
      </c>
      <c r="H36" s="41" t="n"/>
      <c r="I36" s="19" t="n">
        <v>825.03</v>
      </c>
      <c r="J36" s="41" t="n">
        <v>310.525</v>
      </c>
      <c r="K36" s="42">
        <f>IF(AND(B36="SELL",E36&gt;0,J36&lt;&gt;""),J36/E36,0)</f>
        <v/>
      </c>
      <c r="L36" s="42" t="n">
        <v>0.31</v>
      </c>
      <c r="M36" s="40">
        <f>IF(AND(B36="SELL",L36&gt;0),D36*L36,0)</f>
        <v/>
      </c>
      <c r="N36" s="36" t="n"/>
      <c r="O36" s="43">
        <f>IF(AND(B36="SELL",G36&lt;&gt;0),Q36/ABS(G36),0)</f>
        <v/>
      </c>
      <c r="P36" s="43">
        <f>IF(AND(B36="SELL",D36&gt;0),R36/D36,0)</f>
        <v/>
      </c>
      <c r="Q36" s="44">
        <f>IF(AND(B36="SELL",D36&gt;0,E36&gt;0),(D36/E36)+G36,0)</f>
        <v/>
      </c>
      <c r="R36" s="45">
        <f>IF(B36="SELL",Q36*F36,0)</f>
        <v/>
      </c>
      <c r="S36" s="24">
        <f>S35+R36</f>
        <v/>
      </c>
    </row>
    <row r="37" ht="15.75" customHeight="1" s="94">
      <c r="A37" s="46" t="n">
        <v>36</v>
      </c>
      <c r="B37" s="47" t="inlineStr">
        <is>
          <t>SELL</t>
        </is>
      </c>
      <c r="C37" s="48" t="n">
        <v>45971</v>
      </c>
      <c r="D37" s="49" t="n">
        <v>50000</v>
      </c>
      <c r="E37" s="50" t="n">
        <v>950.4299999999999</v>
      </c>
      <c r="F37" s="50" t="n">
        <v>950.4299999999999</v>
      </c>
      <c r="G37" s="51" t="n">
        <v>-49.75</v>
      </c>
      <c r="H37" s="51" t="n"/>
      <c r="I37" s="30" t="n">
        <v>775.28</v>
      </c>
      <c r="J37" s="51" t="n">
        <v>311.5</v>
      </c>
      <c r="K37" s="52">
        <f>IF(AND(B37="SELL",E37&gt;0,J37&lt;&gt;""),J37/E37,0)</f>
        <v/>
      </c>
      <c r="L37" s="52" t="n">
        <v>0.311</v>
      </c>
      <c r="M37" s="50">
        <f>IF(AND(B37="SELL",L37&gt;0),D37*L37,0)</f>
        <v/>
      </c>
      <c r="N37" s="46" t="n"/>
      <c r="O37" s="53">
        <f>IF(AND(B37="SELL",G37&lt;&gt;0),Q37/ABS(G37),0)</f>
        <v/>
      </c>
      <c r="P37" s="53">
        <f>IF(AND(B37="SELL",D37&gt;0),R37/D37,0)</f>
        <v/>
      </c>
      <c r="Q37" s="54">
        <f>IF(AND(B37="SELL",D37&gt;0,E37&gt;0),(D37/E37)+G37,0)</f>
        <v/>
      </c>
      <c r="R37" s="55">
        <f>IF(B37="SELL",Q37*F37,0)</f>
        <v/>
      </c>
      <c r="S37" s="35">
        <f>S36+R37</f>
        <v/>
      </c>
    </row>
    <row r="38" ht="15.75" customHeight="1" s="94">
      <c r="A38" s="36" t="n">
        <v>37</v>
      </c>
      <c r="B38" s="37" t="inlineStr">
        <is>
          <t>SELL</t>
        </is>
      </c>
      <c r="C38" s="38" t="n">
        <v>45971</v>
      </c>
      <c r="D38" s="39" t="n">
        <v>50000</v>
      </c>
      <c r="E38" s="40" t="n">
        <v>950.4299999999999</v>
      </c>
      <c r="F38" s="40" t="n">
        <v>950.4299999999999</v>
      </c>
      <c r="G38" s="41" t="n">
        <v>-49.79</v>
      </c>
      <c r="H38" s="41" t="n"/>
      <c r="I38" s="19" t="n">
        <v>725.49</v>
      </c>
      <c r="J38" s="41" t="n">
        <v>312.3</v>
      </c>
      <c r="K38" s="42">
        <f>IF(AND(B38="SELL",E38&gt;0,J38&lt;&gt;""),J38/E38,0)</f>
        <v/>
      </c>
      <c r="L38" s="42" t="n">
        <v>0.311</v>
      </c>
      <c r="M38" s="40">
        <f>IF(AND(B38="SELL",L38&gt;0),D38*L38,0)</f>
        <v/>
      </c>
      <c r="N38" s="36" t="n"/>
      <c r="O38" s="43">
        <f>IF(AND(B38="SELL",G38&lt;&gt;0),Q38/ABS(G38),0)</f>
        <v/>
      </c>
      <c r="P38" s="43">
        <f>IF(AND(B38="SELL",D38&gt;0),R38/D38,0)</f>
        <v/>
      </c>
      <c r="Q38" s="44">
        <f>IF(AND(B38="SELL",D38&gt;0,E38&gt;0),(D38/E38)+G38,0)</f>
        <v/>
      </c>
      <c r="R38" s="45">
        <f>IF(B38="SELL",Q38*F38,0)</f>
        <v/>
      </c>
      <c r="S38" s="24">
        <f>S37+R38</f>
        <v/>
      </c>
    </row>
    <row r="39" ht="15.75" customHeight="1" s="94">
      <c r="A39" s="46" t="n">
        <v>38</v>
      </c>
      <c r="B39" s="47" t="inlineStr">
        <is>
          <t>SELL</t>
        </is>
      </c>
      <c r="C39" s="48" t="n">
        <v>45971</v>
      </c>
      <c r="D39" s="49" t="n">
        <v>32200</v>
      </c>
      <c r="E39" s="50" t="n">
        <v>950.4299999999999</v>
      </c>
      <c r="F39" s="50" t="n">
        <v>950.4299999999999</v>
      </c>
      <c r="G39" s="51" t="n">
        <v>-31.69</v>
      </c>
      <c r="H39" s="51" t="n"/>
      <c r="I39" s="30" t="n">
        <v>693.8</v>
      </c>
      <c r="J39" s="51" t="n">
        <v>315.9</v>
      </c>
      <c r="K39" s="52">
        <f>IF(AND(B39="SELL",E39&gt;0,J39&lt;&gt;""),J39/E39,0)</f>
        <v/>
      </c>
      <c r="L39" s="52" t="n">
        <v>0.311</v>
      </c>
      <c r="M39" s="50">
        <f>IF(AND(B39="SELL",L39&gt;0),D39*L39,0)</f>
        <v/>
      </c>
      <c r="N39" s="46" t="n"/>
      <c r="O39" s="53">
        <f>IF(AND(B39="SELL",G39&lt;&gt;0),Q39/ABS(G39),0)</f>
        <v/>
      </c>
      <c r="P39" s="53">
        <f>IF(AND(B39="SELL",D39&gt;0),R39/D39,0)</f>
        <v/>
      </c>
      <c r="Q39" s="54">
        <f>IF(AND(B39="SELL",D39&gt;0,E39&gt;0),(D39/E39)+G39,0)</f>
        <v/>
      </c>
      <c r="R39" s="55">
        <f>IF(B39="SELL",Q39*F39,0)</f>
        <v/>
      </c>
      <c r="S39" s="35">
        <f>S38+R39</f>
        <v/>
      </c>
    </row>
    <row r="40" ht="15.75" customHeight="1" s="94">
      <c r="A40" s="36" t="n">
        <v>39</v>
      </c>
      <c r="B40" s="37" t="inlineStr">
        <is>
          <t>SELL</t>
        </is>
      </c>
      <c r="C40" s="38" t="n">
        <v>45971</v>
      </c>
      <c r="D40" s="39" t="n">
        <v>10000</v>
      </c>
      <c r="E40" s="40" t="n">
        <v>950.4299999999999</v>
      </c>
      <c r="F40" s="40" t="n">
        <v>950.4299999999999</v>
      </c>
      <c r="G40" s="41" t="n">
        <v>-10.13</v>
      </c>
      <c r="H40" s="41" t="n"/>
      <c r="I40" s="19" t="n">
        <v>683.67</v>
      </c>
      <c r="J40" s="41" t="n">
        <v>307.001</v>
      </c>
      <c r="K40" s="42">
        <f>IF(AND(B40="SELL",E40&gt;0,J40&lt;&gt;""),J40/E40,0)</f>
        <v/>
      </c>
      <c r="L40" s="42" t="n">
        <v>0.311</v>
      </c>
      <c r="M40" s="40">
        <f>IF(AND(B40="SELL",L40&gt;0),D40*L40,0)</f>
        <v/>
      </c>
      <c r="N40" s="36" t="n"/>
      <c r="O40" s="43">
        <f>IF(AND(B40="SELL",G40&lt;&gt;0),Q40/ABS(G40),0)</f>
        <v/>
      </c>
      <c r="P40" s="43">
        <f>IF(AND(B40="SELL",D40&gt;0),R40/D40,0)</f>
        <v/>
      </c>
      <c r="Q40" s="44">
        <f>IF(AND(B40="SELL",D40&gt;0,E40&gt;0),(D40/E40)+G40,0)</f>
        <v/>
      </c>
      <c r="R40" s="45">
        <f>IF(B40="SELL",Q40*F40,0)</f>
        <v/>
      </c>
      <c r="S40" s="24">
        <f>S39+R40</f>
        <v/>
      </c>
    </row>
    <row r="41" ht="15.75" customHeight="1" s="94">
      <c r="A41" s="46" t="n">
        <v>40</v>
      </c>
      <c r="B41" s="47" t="inlineStr">
        <is>
          <t>SELL</t>
        </is>
      </c>
      <c r="C41" s="48" t="n">
        <v>45971</v>
      </c>
      <c r="D41" s="49" t="n">
        <v>65000</v>
      </c>
      <c r="E41" s="50" t="n">
        <v>950.4299999999999</v>
      </c>
      <c r="F41" s="50" t="n">
        <v>950.4299999999999</v>
      </c>
      <c r="G41" s="51" t="n">
        <v>-62.34</v>
      </c>
      <c r="H41" s="51" t="n"/>
      <c r="I41" s="30" t="n">
        <v>621.33</v>
      </c>
      <c r="J41" s="51" t="n">
        <v>324.226</v>
      </c>
      <c r="K41" s="52">
        <f>IF(AND(B41="SELL",E41&gt;0,J41&lt;&gt;""),J41/E41,0)</f>
        <v/>
      </c>
      <c r="L41" s="52" t="n">
        <v>0.311</v>
      </c>
      <c r="M41" s="50">
        <f>IF(AND(B41="SELL",L41&gt;0),D41*L41,0)</f>
        <v/>
      </c>
      <c r="N41" s="46" t="n"/>
      <c r="O41" s="53">
        <f>IF(AND(B41="SELL",G41&lt;&gt;0),Q41/ABS(G41),0)</f>
        <v/>
      </c>
      <c r="P41" s="53">
        <f>IF(AND(B41="SELL",D41&gt;0),R41/D41,0)</f>
        <v/>
      </c>
      <c r="Q41" s="54">
        <f>IF(AND(B41="SELL",D41&gt;0,E41&gt;0),(D41/E41)+G41,0)</f>
        <v/>
      </c>
      <c r="R41" s="55">
        <f>IF(B41="SELL",Q41*F41,0)</f>
        <v/>
      </c>
      <c r="S41" s="35">
        <f>S40+R41</f>
        <v/>
      </c>
    </row>
    <row r="42" ht="15.75" customHeight="1" s="94">
      <c r="A42" s="36" t="n">
        <v>41</v>
      </c>
      <c r="B42" s="37" t="inlineStr">
        <is>
          <t>SELL</t>
        </is>
      </c>
      <c r="C42" s="38" t="n">
        <v>45971</v>
      </c>
      <c r="D42" s="39" t="n">
        <v>28000</v>
      </c>
      <c r="E42" s="40" t="n">
        <v>950.4299999999999</v>
      </c>
      <c r="F42" s="40" t="n">
        <v>950.4299999999999</v>
      </c>
      <c r="G42" s="41" t="n">
        <v>-31.09</v>
      </c>
      <c r="H42" s="41" t="n"/>
      <c r="I42" s="19" t="n">
        <v>590.24</v>
      </c>
      <c r="J42" s="41" t="n">
        <v>280</v>
      </c>
      <c r="K42" s="42">
        <f>IF(AND(B42="SELL",E42&gt;0,J42&lt;&gt;""),J42/E42,0)</f>
        <v/>
      </c>
      <c r="L42" s="42" t="n">
        <v>0.311</v>
      </c>
      <c r="M42" s="40">
        <f>IF(AND(B42="SELL",L42&gt;0),D42*L42,0)</f>
        <v/>
      </c>
      <c r="N42" s="36" t="n"/>
      <c r="O42" s="43">
        <f>IF(AND(B42="SELL",G42&lt;&gt;0),Q42/ABS(G42),0)</f>
        <v/>
      </c>
      <c r="P42" s="43">
        <f>IF(AND(B42="SELL",D42&gt;0),R42/D42,0)</f>
        <v/>
      </c>
      <c r="Q42" s="44">
        <f>IF(AND(B42="SELL",D42&gt;0,E42&gt;0),(D42/E42)+G42,0)</f>
        <v/>
      </c>
      <c r="R42" s="45">
        <f>IF(B42="SELL",Q42*F42,0)</f>
        <v/>
      </c>
      <c r="S42" s="24">
        <f>S41+R42</f>
        <v/>
      </c>
    </row>
    <row r="43" ht="15.75" customHeight="1" s="94">
      <c r="A43" s="46" t="n">
        <v>42</v>
      </c>
      <c r="B43" s="47" t="inlineStr">
        <is>
          <t>SELL</t>
        </is>
      </c>
      <c r="C43" s="48" t="n">
        <v>45971</v>
      </c>
      <c r="D43" s="49" t="n">
        <v>30000</v>
      </c>
      <c r="E43" s="50" t="n">
        <v>950.4299999999999</v>
      </c>
      <c r="F43" s="50" t="n">
        <v>950.4299999999999</v>
      </c>
      <c r="G43" s="51" t="n">
        <v>-28.9</v>
      </c>
      <c r="H43" s="51" t="n"/>
      <c r="I43" s="30" t="n">
        <v>561.34</v>
      </c>
      <c r="J43" s="51" t="n">
        <v>322.75</v>
      </c>
      <c r="K43" s="52">
        <f>IF(AND(B43="SELL",E43&gt;0,J43&lt;&gt;""),J43/E43,0)</f>
        <v/>
      </c>
      <c r="L43" s="52" t="n">
        <v>0.311</v>
      </c>
      <c r="M43" s="50">
        <f>IF(AND(B43="SELL",L43&gt;0),D43*L43,0)</f>
        <v/>
      </c>
      <c r="N43" s="46" t="n"/>
      <c r="O43" s="53">
        <f>IF(AND(B43="SELL",G43&lt;&gt;0),Q43/ABS(G43),0)</f>
        <v/>
      </c>
      <c r="P43" s="53">
        <f>IF(AND(B43="SELL",D43&gt;0),R43/D43,0)</f>
        <v/>
      </c>
      <c r="Q43" s="54">
        <f>IF(AND(B43="SELL",D43&gt;0,E43&gt;0),(D43/E43)+G43,0)</f>
        <v/>
      </c>
      <c r="R43" s="55">
        <f>IF(B43="SELL",Q43*F43,0)</f>
        <v/>
      </c>
      <c r="S43" s="35">
        <f>S42+R43</f>
        <v/>
      </c>
    </row>
    <row r="44" ht="15.75" customHeight="1" s="94">
      <c r="A44" s="36" t="n">
        <v>43</v>
      </c>
      <c r="B44" s="37" t="inlineStr">
        <is>
          <t>SELL</t>
        </is>
      </c>
      <c r="C44" s="38" t="n">
        <v>45972</v>
      </c>
      <c r="D44" s="39" t="n">
        <v>15000</v>
      </c>
      <c r="E44" s="40" t="n">
        <v>950.4299999999999</v>
      </c>
      <c r="F44" s="40" t="n">
        <v>950.4299999999999</v>
      </c>
      <c r="G44" s="41" t="n">
        <v>-15.18</v>
      </c>
      <c r="H44" s="41" t="n"/>
      <c r="I44" s="19" t="n">
        <v>810.63</v>
      </c>
      <c r="J44" s="41" t="n">
        <v>319.109</v>
      </c>
      <c r="K44" s="42">
        <f>IF(AND(B44="SELL",E44&gt;0,J44&lt;&gt;""),J44/E44,0)</f>
        <v/>
      </c>
      <c r="L44" s="42" t="n">
        <v>0.323</v>
      </c>
      <c r="M44" s="40">
        <f>IF(AND(B44="SELL",L44&gt;0),D44*L44,0)</f>
        <v/>
      </c>
      <c r="N44" s="36" t="n"/>
      <c r="O44" s="43">
        <f>IF(AND(B44="SELL",G44&lt;&gt;0),Q44/ABS(G44),0)</f>
        <v/>
      </c>
      <c r="P44" s="43">
        <f>IF(AND(B44="SELL",D44&gt;0),R44/D44,0)</f>
        <v/>
      </c>
      <c r="Q44" s="44">
        <f>IF(AND(B44="SELL",D44&gt;0,E44&gt;0),(D44/E44)+G44,0)</f>
        <v/>
      </c>
      <c r="R44" s="45">
        <f>IF(B44="SELL",Q44*F44,0)</f>
        <v/>
      </c>
      <c r="S44" s="24">
        <f>S43+R44</f>
        <v/>
      </c>
    </row>
    <row r="45" ht="15.75" customHeight="1" s="94">
      <c r="A45" s="46" t="n">
        <v>44</v>
      </c>
      <c r="B45" s="47" t="inlineStr">
        <is>
          <t>SELL</t>
        </is>
      </c>
      <c r="C45" s="48" t="n">
        <v>45972</v>
      </c>
      <c r="D45" s="49" t="n">
        <v>50000</v>
      </c>
      <c r="E45" s="50" t="n">
        <v>950.4299999999999</v>
      </c>
      <c r="F45" s="50" t="n">
        <v>950.4299999999999</v>
      </c>
      <c r="G45" s="51" t="n">
        <v>-50.03</v>
      </c>
      <c r="H45" s="51" t="n"/>
      <c r="I45" s="30" t="n">
        <v>760.6</v>
      </c>
      <c r="J45" s="51" t="n">
        <v>322.778</v>
      </c>
      <c r="K45" s="52">
        <f>IF(AND(B45="SELL",E45&gt;0,J45&lt;&gt;""),J45/E45,0)</f>
        <v/>
      </c>
      <c r="L45" s="52" t="n">
        <v>0.323</v>
      </c>
      <c r="M45" s="50">
        <f>IF(AND(B45="SELL",L45&gt;0),D45*L45,0)</f>
        <v/>
      </c>
      <c r="N45" s="46" t="n"/>
      <c r="O45" s="53">
        <f>IF(AND(B45="SELL",G45&lt;&gt;0),Q45/ABS(G45),0)</f>
        <v/>
      </c>
      <c r="P45" s="53">
        <f>IF(AND(B45="SELL",D45&gt;0),R45/D45,0)</f>
        <v/>
      </c>
      <c r="Q45" s="54">
        <f>IF(AND(B45="SELL",D45&gt;0,E45&gt;0),(D45/E45)+G45,0)</f>
        <v/>
      </c>
      <c r="R45" s="55">
        <f>IF(B45="SELL",Q45*F45,0)</f>
        <v/>
      </c>
      <c r="S45" s="35">
        <f>S44+R45</f>
        <v/>
      </c>
    </row>
    <row r="46" ht="15.75" customHeight="1" s="94">
      <c r="A46" s="36" t="n">
        <v>45</v>
      </c>
      <c r="B46" s="37" t="inlineStr">
        <is>
          <t>SELL</t>
        </is>
      </c>
      <c r="C46" s="38" t="n">
        <v>45972</v>
      </c>
      <c r="D46" s="39" t="n">
        <v>20000</v>
      </c>
      <c r="E46" s="40" t="n">
        <v>950.4299999999999</v>
      </c>
      <c r="F46" s="40" t="n">
        <v>950.4299999999999</v>
      </c>
      <c r="G46" s="41" t="n">
        <v>-19.93</v>
      </c>
      <c r="H46" s="41" t="n"/>
      <c r="I46" s="19" t="n">
        <v>740.67</v>
      </c>
      <c r="J46" s="41" t="n">
        <v>324.002</v>
      </c>
      <c r="K46" s="42">
        <f>IF(AND(B46="SELL",E46&gt;0,J46&lt;&gt;""),J46/E46,0)</f>
        <v/>
      </c>
      <c r="L46" s="42" t="n">
        <v>0.323</v>
      </c>
      <c r="M46" s="40">
        <f>IF(AND(B46="SELL",L46&gt;0),D46*L46,0)</f>
        <v/>
      </c>
      <c r="N46" s="36" t="n"/>
      <c r="O46" s="43">
        <f>IF(AND(B46="SELL",G46&lt;&gt;0),Q46/ABS(G46),0)</f>
        <v/>
      </c>
      <c r="P46" s="43">
        <f>IF(AND(B46="SELL",D46&gt;0),R46/D46,0)</f>
        <v/>
      </c>
      <c r="Q46" s="44">
        <f>IF(AND(B46="SELL",D46&gt;0,E46&gt;0),(D46/E46)+G46,0)</f>
        <v/>
      </c>
      <c r="R46" s="45">
        <f>IF(B46="SELL",Q46*F46,0)</f>
        <v/>
      </c>
      <c r="S46" s="24">
        <f>S45+R46</f>
        <v/>
      </c>
    </row>
    <row r="47" ht="15.75" customHeight="1" s="94">
      <c r="A47" s="46" t="n">
        <v>46</v>
      </c>
      <c r="B47" s="47" t="inlineStr">
        <is>
          <t>SELL</t>
        </is>
      </c>
      <c r="C47" s="48" t="n">
        <v>45972</v>
      </c>
      <c r="D47" s="49" t="n">
        <v>30000</v>
      </c>
      <c r="E47" s="50" t="n">
        <v>950.4299999999999</v>
      </c>
      <c r="F47" s="50" t="n">
        <v>950.4299999999999</v>
      </c>
      <c r="G47" s="51" t="n">
        <v>-29.93</v>
      </c>
      <c r="H47" s="51" t="n"/>
      <c r="I47" s="30" t="n">
        <v>710.74</v>
      </c>
      <c r="J47" s="51" t="n">
        <v>323.7</v>
      </c>
      <c r="K47" s="52">
        <f>IF(AND(B47="SELL",E47&gt;0,J47&lt;&gt;""),J47/E47,0)</f>
        <v/>
      </c>
      <c r="L47" s="52" t="n">
        <v>0.323</v>
      </c>
      <c r="M47" s="50">
        <f>IF(AND(B47="SELL",L47&gt;0),D47*L47,0)</f>
        <v/>
      </c>
      <c r="N47" s="46" t="n"/>
      <c r="O47" s="53">
        <f>IF(AND(B47="SELL",G47&lt;&gt;0),Q47/ABS(G47),0)</f>
        <v/>
      </c>
      <c r="P47" s="53">
        <f>IF(AND(B47="SELL",D47&gt;0),R47/D47,0)</f>
        <v/>
      </c>
      <c r="Q47" s="54">
        <f>IF(AND(B47="SELL",D47&gt;0,E47&gt;0),(D47/E47)+G47,0)</f>
        <v/>
      </c>
      <c r="R47" s="55">
        <f>IF(B47="SELL",Q47*F47,0)</f>
        <v/>
      </c>
      <c r="S47" s="35">
        <f>S46+R47</f>
        <v/>
      </c>
    </row>
    <row r="48" ht="15.75" customHeight="1" s="94">
      <c r="A48" s="36" t="n">
        <v>47</v>
      </c>
      <c r="B48" s="37" t="inlineStr">
        <is>
          <t>SELL</t>
        </is>
      </c>
      <c r="C48" s="38" t="n">
        <v>45972</v>
      </c>
      <c r="D48" s="39" t="n">
        <v>8980</v>
      </c>
      <c r="E48" s="40" t="n">
        <v>950.4299999999999</v>
      </c>
      <c r="F48" s="40" t="n">
        <v>950.4299999999999</v>
      </c>
      <c r="G48" s="41" t="n">
        <v>-9.050000000000001</v>
      </c>
      <c r="H48" s="41" t="n"/>
      <c r="I48" s="19" t="n">
        <v>701.6900000000001</v>
      </c>
      <c r="J48" s="41" t="n">
        <v>320.345</v>
      </c>
      <c r="K48" s="42">
        <f>IF(AND(B48="SELL",E48&gt;0,J48&lt;&gt;""),J48/E48,0)</f>
        <v/>
      </c>
      <c r="L48" s="42" t="n">
        <v>0.323</v>
      </c>
      <c r="M48" s="40">
        <f>IF(AND(B48="SELL",L48&gt;0),D48*L48,0)</f>
        <v/>
      </c>
      <c r="N48" s="36" t="n"/>
      <c r="O48" s="43">
        <f>IF(AND(B48="SELL",G48&lt;&gt;0),Q48/ABS(G48),0)</f>
        <v/>
      </c>
      <c r="P48" s="43">
        <f>IF(AND(B48="SELL",D48&gt;0),R48/D48,0)</f>
        <v/>
      </c>
      <c r="Q48" s="44">
        <f>IF(AND(B48="SELL",D48&gt;0,E48&gt;0),(D48/E48)+G48,0)</f>
        <v/>
      </c>
      <c r="R48" s="45">
        <f>IF(B48="SELL",Q48*F48,0)</f>
        <v/>
      </c>
      <c r="S48" s="24">
        <f>S47+R48</f>
        <v/>
      </c>
    </row>
    <row r="49" ht="15.75" customHeight="1" s="94">
      <c r="A49" s="46" t="n">
        <v>48</v>
      </c>
      <c r="B49" s="47" t="inlineStr">
        <is>
          <t>SELL</t>
        </is>
      </c>
      <c r="C49" s="48" t="n">
        <v>45972</v>
      </c>
      <c r="D49" s="49" t="n">
        <v>20000</v>
      </c>
      <c r="E49" s="50" t="n">
        <v>950.4299999999999</v>
      </c>
      <c r="F49" s="50" t="n">
        <v>950.4299999999999</v>
      </c>
      <c r="G49" s="51" t="n">
        <v>-19.8</v>
      </c>
      <c r="H49" s="51" t="n"/>
      <c r="I49" s="30" t="n">
        <v>681.89</v>
      </c>
      <c r="J49" s="51" t="n">
        <v>326.2</v>
      </c>
      <c r="K49" s="52">
        <f>IF(AND(B49="SELL",E49&gt;0,J49&lt;&gt;""),J49/E49,0)</f>
        <v/>
      </c>
      <c r="L49" s="52" t="n">
        <v>0.323</v>
      </c>
      <c r="M49" s="50">
        <f>IF(AND(B49="SELL",L49&gt;0),D49*L49,0)</f>
        <v/>
      </c>
      <c r="N49" s="46" t="n"/>
      <c r="O49" s="53">
        <f>IF(AND(B49="SELL",G49&lt;&gt;0),Q49/ABS(G49),0)</f>
        <v/>
      </c>
      <c r="P49" s="53">
        <f>IF(AND(B49="SELL",D49&gt;0),R49/D49,0)</f>
        <v/>
      </c>
      <c r="Q49" s="54">
        <f>IF(AND(B49="SELL",D49&gt;0,E49&gt;0),(D49/E49)+G49,0)</f>
        <v/>
      </c>
      <c r="R49" s="55">
        <f>IF(B49="SELL",Q49*F49,0)</f>
        <v/>
      </c>
      <c r="S49" s="35">
        <f>S48+R49</f>
        <v/>
      </c>
    </row>
    <row r="50" ht="15.75" customHeight="1" s="94">
      <c r="A50" s="36" t="n">
        <v>49</v>
      </c>
      <c r="B50" s="37" t="inlineStr">
        <is>
          <t>SELL</t>
        </is>
      </c>
      <c r="C50" s="38" t="n">
        <v>45972</v>
      </c>
      <c r="D50" s="39" t="n">
        <v>30000</v>
      </c>
      <c r="E50" s="40" t="n">
        <v>950.4299999999999</v>
      </c>
      <c r="F50" s="40" t="n">
        <v>950.4299999999999</v>
      </c>
      <c r="G50" s="41" t="n">
        <v>-29.81</v>
      </c>
      <c r="H50" s="41" t="n"/>
      <c r="I50" s="19" t="n">
        <v>652.080000000001</v>
      </c>
      <c r="J50" s="41" t="n">
        <v>3673.1</v>
      </c>
      <c r="K50" s="42">
        <f>IF(AND(B50="SELL",E50&gt;0,J50&lt;&gt;""),J50/E50,0)</f>
        <v/>
      </c>
      <c r="L50" s="42" t="n">
        <v>3.65</v>
      </c>
      <c r="M50" s="40">
        <f>IF(AND(B50="SELL",L50&gt;0),D50*L50,0)</f>
        <v/>
      </c>
      <c r="N50" s="36" t="n"/>
      <c r="O50" s="43">
        <f>IF(AND(B50="SELL",G50&lt;&gt;0),Q50/ABS(G50),0)</f>
        <v/>
      </c>
      <c r="P50" s="43">
        <f>IF(AND(B50="SELL",D50&gt;0),R50/D50,0)</f>
        <v/>
      </c>
      <c r="Q50" s="44">
        <f>IF(AND(B50="SELL",D50&gt;0,E50&gt;0),(D50/E50)+G50,0)</f>
        <v/>
      </c>
      <c r="R50" s="45">
        <f>IF(B50="SELL",Q50*F50,0)</f>
        <v/>
      </c>
      <c r="S50" s="24">
        <f>S49+R50</f>
        <v/>
      </c>
    </row>
    <row r="51" ht="15.75" customHeight="1" s="94">
      <c r="A51" s="46" t="n">
        <v>50</v>
      </c>
      <c r="B51" s="47" t="inlineStr">
        <is>
          <t>SELL</t>
        </is>
      </c>
      <c r="C51" s="48" t="n">
        <v>45973</v>
      </c>
      <c r="D51" s="49" t="n">
        <v>20000</v>
      </c>
      <c r="E51" s="50" t="n">
        <v>950.4299999999999</v>
      </c>
      <c r="F51" s="50" t="n">
        <v>950.4299999999999</v>
      </c>
      <c r="G51" s="51" t="n">
        <v>-20.05</v>
      </c>
      <c r="H51" s="51" t="n"/>
      <c r="I51" s="30" t="n">
        <v>632.030000000001</v>
      </c>
      <c r="J51" s="51" t="n">
        <v>331.01</v>
      </c>
      <c r="K51" s="52">
        <f>IF(AND(B51="SELL",E51&gt;0,J51&lt;&gt;""),J51/E51,0)</f>
        <v/>
      </c>
      <c r="L51" s="52" t="n">
        <v>0.332</v>
      </c>
      <c r="M51" s="50">
        <f>IF(AND(B51="SELL",L51&gt;0),D51*L51,0)</f>
        <v/>
      </c>
      <c r="N51" s="46" t="n"/>
      <c r="O51" s="53">
        <f>IF(AND(B51="SELL",G51&lt;&gt;0),Q51/ABS(G51),0)</f>
        <v/>
      </c>
      <c r="P51" s="53">
        <f>IF(AND(B51="SELL",D51&gt;0),R51/D51,0)</f>
        <v/>
      </c>
      <c r="Q51" s="54">
        <f>IF(AND(B51="SELL",D51&gt;0,E51&gt;0),(D51/E51)+G51,0)</f>
        <v/>
      </c>
      <c r="R51" s="55">
        <f>IF(B51="SELL",Q51*F51,0)</f>
        <v/>
      </c>
      <c r="S51" s="35">
        <f>S50+R51</f>
        <v/>
      </c>
    </row>
    <row r="52" ht="15.75" customHeight="1" s="94">
      <c r="A52" s="36" t="n">
        <v>51</v>
      </c>
      <c r="B52" s="37" t="inlineStr">
        <is>
          <t>SELL</t>
        </is>
      </c>
      <c r="C52" s="38" t="n">
        <v>45973</v>
      </c>
      <c r="D52" s="39" t="n">
        <v>15000</v>
      </c>
      <c r="E52" s="40" t="n">
        <v>950.4299999999999</v>
      </c>
      <c r="F52" s="40" t="n">
        <v>950.4299999999999</v>
      </c>
      <c r="G52" s="41" t="n">
        <v>-14.91</v>
      </c>
      <c r="H52" s="41" t="n"/>
      <c r="I52" s="19" t="n">
        <v>617.120000000001</v>
      </c>
      <c r="J52" s="41" t="n">
        <v>333.91</v>
      </c>
      <c r="K52" s="42">
        <f>IF(AND(B52="SELL",E52&gt;0,J52&lt;&gt;""),J52/E52,0)</f>
        <v/>
      </c>
      <c r="L52" s="42" t="n">
        <v>0.332</v>
      </c>
      <c r="M52" s="40">
        <f>IF(AND(B52="SELL",L52&gt;0),D52*L52,0)</f>
        <v/>
      </c>
      <c r="N52" s="36" t="n"/>
      <c r="O52" s="43">
        <f>IF(AND(B52="SELL",G52&lt;&gt;0),Q52/ABS(G52),0)</f>
        <v/>
      </c>
      <c r="P52" s="43">
        <f>IF(AND(B52="SELL",D52&gt;0),R52/D52,0)</f>
        <v/>
      </c>
      <c r="Q52" s="44">
        <f>IF(AND(B52="SELL",D52&gt;0,E52&gt;0),(D52/E52)+G52,0)</f>
        <v/>
      </c>
      <c r="R52" s="45">
        <f>IF(B52="SELL",Q52*F52,0)</f>
        <v/>
      </c>
      <c r="S52" s="24">
        <f>S51+R52</f>
        <v/>
      </c>
    </row>
    <row r="53" ht="15.75" customHeight="1" s="94">
      <c r="A53" s="46" t="n">
        <v>52</v>
      </c>
      <c r="B53" s="47" t="inlineStr">
        <is>
          <t>SELL</t>
        </is>
      </c>
      <c r="C53" s="48" t="n">
        <v>45973</v>
      </c>
      <c r="D53" s="49" t="n">
        <v>95000</v>
      </c>
      <c r="E53" s="50" t="n">
        <v>950.4299999999999</v>
      </c>
      <c r="F53" s="50" t="n">
        <v>950.4299999999999</v>
      </c>
      <c r="G53" s="51" t="n">
        <v>-92.59999999999999</v>
      </c>
      <c r="H53" s="51" t="n"/>
      <c r="I53" s="30" t="n">
        <v>524.520000000001</v>
      </c>
      <c r="J53" s="51" t="n">
        <v>340.601</v>
      </c>
      <c r="K53" s="52">
        <f>IF(AND(B53="SELL",E53&gt;0,J53&lt;&gt;""),J53/E53,0)</f>
        <v/>
      </c>
      <c r="L53" s="52" t="n">
        <v>0.332</v>
      </c>
      <c r="M53" s="50">
        <f>IF(AND(B53="SELL",L53&gt;0),D53*L53,0)</f>
        <v/>
      </c>
      <c r="N53" s="46" t="n"/>
      <c r="O53" s="53">
        <f>IF(AND(B53="SELL",G53&lt;&gt;0),Q53/ABS(G53),0)</f>
        <v/>
      </c>
      <c r="P53" s="53">
        <f>IF(AND(B53="SELL",D53&gt;0),R53/D53,0)</f>
        <v/>
      </c>
      <c r="Q53" s="54">
        <f>IF(AND(B53="SELL",D53&gt;0,E53&gt;0),(D53/E53)+G53,0)</f>
        <v/>
      </c>
      <c r="R53" s="55">
        <f>IF(B53="SELL",Q53*F53,0)</f>
        <v/>
      </c>
      <c r="S53" s="35">
        <f>S52+R53</f>
        <v/>
      </c>
    </row>
    <row r="54" ht="15.75" customHeight="1" s="94">
      <c r="A54" s="36" t="n">
        <v>53</v>
      </c>
      <c r="B54" s="37" t="inlineStr">
        <is>
          <t>SELL</t>
        </is>
      </c>
      <c r="C54" s="38" t="n">
        <v>45973</v>
      </c>
      <c r="D54" s="39" t="n">
        <v>25000</v>
      </c>
      <c r="E54" s="40" t="n">
        <v>950.4299999999999</v>
      </c>
      <c r="F54" s="40" t="n">
        <v>950.4299999999999</v>
      </c>
      <c r="G54" s="41" t="n">
        <v>-24.59</v>
      </c>
      <c r="H54" s="41" t="n"/>
      <c r="I54" s="19" t="n">
        <v>499.930000000001</v>
      </c>
      <c r="J54" s="41" t="n">
        <v>337.4</v>
      </c>
      <c r="K54" s="42">
        <f>IF(AND(B54="SELL",E54&gt;0,J54&lt;&gt;""),J54/E54,0)</f>
        <v/>
      </c>
      <c r="L54" s="42" t="n">
        <v>0.332</v>
      </c>
      <c r="M54" s="40">
        <f>IF(AND(B54="SELL",L54&gt;0),D54*L54,0)</f>
        <v/>
      </c>
      <c r="N54" s="36" t="n"/>
      <c r="O54" s="43">
        <f>IF(AND(B54="SELL",G54&lt;&gt;0),Q54/ABS(G54),0)</f>
        <v/>
      </c>
      <c r="P54" s="43">
        <f>IF(AND(B54="SELL",D54&gt;0),R54/D54,0)</f>
        <v/>
      </c>
      <c r="Q54" s="44">
        <f>IF(AND(B54="SELL",D54&gt;0,E54&gt;0),(D54/E54)+G54,0)</f>
        <v/>
      </c>
      <c r="R54" s="45">
        <f>IF(B54="SELL",Q54*F54,0)</f>
        <v/>
      </c>
      <c r="S54" s="24">
        <f>S53+R54</f>
        <v/>
      </c>
    </row>
    <row r="55" ht="15.75" customHeight="1" s="94">
      <c r="A55" s="46" t="n">
        <v>54</v>
      </c>
      <c r="B55" s="47" t="inlineStr">
        <is>
          <t>SELL</t>
        </is>
      </c>
      <c r="C55" s="48" t="n">
        <v>45974</v>
      </c>
      <c r="D55" s="49" t="n">
        <v>40000</v>
      </c>
      <c r="E55" s="50" t="n">
        <v>950.4299999999999</v>
      </c>
      <c r="F55" s="50" t="n">
        <v>950.4299999999999</v>
      </c>
      <c r="G55" s="51" t="n">
        <v>-39.64</v>
      </c>
      <c r="H55" s="51" t="n"/>
      <c r="I55" s="30" t="n">
        <v>460.290000000001</v>
      </c>
      <c r="J55" s="51" t="n">
        <v>336</v>
      </c>
      <c r="K55" s="52">
        <f>IF(AND(B55="SELL",E55&gt;0,J55&lt;&gt;""),J55/E55,0)</f>
        <v/>
      </c>
      <c r="L55" s="52" t="n">
        <v>0.333</v>
      </c>
      <c r="M55" s="50">
        <f>IF(AND(B55="SELL",L55&gt;0),D55*L55,0)</f>
        <v/>
      </c>
      <c r="N55" s="46" t="n"/>
      <c r="O55" s="53">
        <f>IF(AND(B55="SELL",G55&lt;&gt;0),Q55/ABS(G55),0)</f>
        <v/>
      </c>
      <c r="P55" s="53">
        <f>IF(AND(B55="SELL",D55&gt;0),R55/D55,0)</f>
        <v/>
      </c>
      <c r="Q55" s="54">
        <f>IF(AND(B55="SELL",D55&gt;0,E55&gt;0),(D55/E55)+G55,0)</f>
        <v/>
      </c>
      <c r="R55" s="55">
        <f>IF(B55="SELL",Q55*F55,0)</f>
        <v/>
      </c>
      <c r="S55" s="35">
        <f>S54+R55</f>
        <v/>
      </c>
    </row>
    <row r="56" ht="15.75" customHeight="1" s="94">
      <c r="A56" s="36" t="n">
        <v>55</v>
      </c>
      <c r="B56" s="37" t="inlineStr">
        <is>
          <t>SELL</t>
        </is>
      </c>
      <c r="C56" s="38" t="n">
        <v>45974</v>
      </c>
      <c r="D56" s="39" t="n">
        <v>30000</v>
      </c>
      <c r="E56" s="40" t="n">
        <v>950.4299999999999</v>
      </c>
      <c r="F56" s="40" t="n">
        <v>950.4299999999999</v>
      </c>
      <c r="G56" s="41" t="n">
        <v>-29.87</v>
      </c>
      <c r="H56" s="41" t="n"/>
      <c r="I56" s="19" t="n">
        <v>430.420000000001</v>
      </c>
      <c r="J56" s="41" t="n">
        <v>334.4</v>
      </c>
      <c r="K56" s="42">
        <f>IF(AND(B56="SELL",E56&gt;0,J56&lt;&gt;""),J56/E56,0)</f>
        <v/>
      </c>
      <c r="L56" s="42" t="n">
        <v>0.333</v>
      </c>
      <c r="M56" s="40">
        <f>IF(AND(B56="SELL",L56&gt;0),D56*L56,0)</f>
        <v/>
      </c>
      <c r="N56" s="36" t="n"/>
      <c r="O56" s="43">
        <f>IF(AND(B56="SELL",G56&lt;&gt;0),Q56/ABS(G56),0)</f>
        <v/>
      </c>
      <c r="P56" s="43">
        <f>IF(AND(B56="SELL",D56&gt;0),R56/D56,0)</f>
        <v/>
      </c>
      <c r="Q56" s="44">
        <f>IF(AND(B56="SELL",D56&gt;0,E56&gt;0),(D56/E56)+G56,0)</f>
        <v/>
      </c>
      <c r="R56" s="45">
        <f>IF(B56="SELL",Q56*F56,0)</f>
        <v/>
      </c>
      <c r="S56" s="24">
        <f>S55+R56</f>
        <v/>
      </c>
    </row>
    <row r="57" ht="15.75" customHeight="1" s="94">
      <c r="A57" s="46" t="n">
        <v>56</v>
      </c>
      <c r="B57" s="47" t="inlineStr">
        <is>
          <t>SELL</t>
        </is>
      </c>
      <c r="C57" s="48" t="n">
        <v>45974</v>
      </c>
      <c r="D57" s="49" t="n">
        <v>25000</v>
      </c>
      <c r="E57" s="50" t="n">
        <v>950.4299999999999</v>
      </c>
      <c r="F57" s="50" t="n">
        <v>950.4299999999999</v>
      </c>
      <c r="G57" s="51" t="n">
        <v>-25.11</v>
      </c>
      <c r="H57" s="51" t="n"/>
      <c r="I57" s="30" t="n">
        <v>405.310000000001</v>
      </c>
      <c r="J57" s="51" t="n">
        <v>331.45</v>
      </c>
      <c r="K57" s="52">
        <f>IF(AND(B57="SELL",E57&gt;0,J57&lt;&gt;""),J57/E57,0)</f>
        <v/>
      </c>
      <c r="L57" s="52" t="n">
        <v>0.333</v>
      </c>
      <c r="M57" s="50">
        <f>IF(AND(B57="SELL",L57&gt;0),D57*L57,0)</f>
        <v/>
      </c>
      <c r="N57" s="46" t="n"/>
      <c r="O57" s="53">
        <f>IF(AND(B57="SELL",G57&lt;&gt;0),Q57/ABS(G57),0)</f>
        <v/>
      </c>
      <c r="P57" s="53">
        <f>IF(AND(B57="SELL",D57&gt;0),R57/D57,0)</f>
        <v/>
      </c>
      <c r="Q57" s="54">
        <f>IF(AND(B57="SELL",D57&gt;0,E57&gt;0),(D57/E57)+G57,0)</f>
        <v/>
      </c>
      <c r="R57" s="55">
        <f>IF(B57="SELL",Q57*F57,0)</f>
        <v/>
      </c>
      <c r="S57" s="35">
        <f>S56+R57</f>
        <v/>
      </c>
    </row>
    <row r="58" ht="15.75" customHeight="1" s="94">
      <c r="A58" s="36" t="n">
        <v>57</v>
      </c>
      <c r="B58" s="37" t="inlineStr">
        <is>
          <t>SELL</t>
        </is>
      </c>
      <c r="C58" s="38" t="n">
        <v>45974</v>
      </c>
      <c r="D58" s="39" t="n">
        <v>10000</v>
      </c>
      <c r="E58" s="40" t="n">
        <v>950.4299999999999</v>
      </c>
      <c r="F58" s="40" t="n">
        <v>950.4299999999999</v>
      </c>
      <c r="G58" s="41" t="n">
        <v>-10.14</v>
      </c>
      <c r="H58" s="41" t="n"/>
      <c r="I58" s="19" t="n">
        <v>395.170000000001</v>
      </c>
      <c r="J58" s="41" t="n">
        <v>328.3</v>
      </c>
      <c r="K58" s="42">
        <f>IF(AND(B58="SELL",E58&gt;0,J58&lt;&gt;""),J58/E58,0)</f>
        <v/>
      </c>
      <c r="L58" s="42" t="n">
        <v>0.333</v>
      </c>
      <c r="M58" s="40">
        <f>IF(AND(B58="SELL",L58&gt;0),D58*L58,0)</f>
        <v/>
      </c>
      <c r="N58" s="36" t="n"/>
      <c r="O58" s="43">
        <f>IF(AND(B58="SELL",G58&lt;&gt;0),Q58/ABS(G58),0)</f>
        <v/>
      </c>
      <c r="P58" s="43">
        <f>IF(AND(B58="SELL",D58&gt;0),R58/D58,0)</f>
        <v/>
      </c>
      <c r="Q58" s="44">
        <f>IF(AND(B58="SELL",D58&gt;0,E58&gt;0),(D58/E58)+G58,0)</f>
        <v/>
      </c>
      <c r="R58" s="45">
        <f>IF(B58="SELL",Q58*F58,0)</f>
        <v/>
      </c>
      <c r="S58" s="24">
        <f>S57+R58</f>
        <v/>
      </c>
    </row>
    <row r="59" ht="15.75" customHeight="1" s="94">
      <c r="A59" s="46" t="n">
        <v>58</v>
      </c>
      <c r="B59" s="47" t="inlineStr">
        <is>
          <t>SELL</t>
        </is>
      </c>
      <c r="C59" s="48" t="n">
        <v>45975</v>
      </c>
      <c r="D59" s="49" t="n">
        <v>100000</v>
      </c>
      <c r="E59" s="50" t="n">
        <v>950.4299999999999</v>
      </c>
      <c r="F59" s="50" t="n">
        <v>950.4299999999999</v>
      </c>
      <c r="G59" s="51" t="n">
        <v>-100.55</v>
      </c>
      <c r="H59" s="51" t="n"/>
      <c r="I59" s="30" t="n">
        <v>294.620000000001</v>
      </c>
      <c r="J59" s="51" t="n">
        <v>326.18</v>
      </c>
      <c r="K59" s="52">
        <f>IF(AND(B59="SELL",E59&gt;0,J59&lt;&gt;""),J59/E59,0)</f>
        <v/>
      </c>
      <c r="L59" s="52" t="n">
        <v>0.328</v>
      </c>
      <c r="M59" s="50">
        <f>IF(AND(B59="SELL",L59&gt;0),D59*L59,0)</f>
        <v/>
      </c>
      <c r="N59" s="46" t="n"/>
      <c r="O59" s="53">
        <f>IF(AND(B59="SELL",G59&lt;&gt;0),Q59/ABS(G59),0)</f>
        <v/>
      </c>
      <c r="P59" s="53">
        <f>IF(AND(B59="SELL",D59&gt;0),R59/D59,0)</f>
        <v/>
      </c>
      <c r="Q59" s="54">
        <f>IF(AND(B59="SELL",D59&gt;0,E59&gt;0),(D59/E59)+G59,0)</f>
        <v/>
      </c>
      <c r="R59" s="55">
        <f>IF(B59="SELL",Q59*F59,0)</f>
        <v/>
      </c>
      <c r="S59" s="35">
        <f>S58+R59</f>
        <v/>
      </c>
    </row>
    <row r="60" ht="15.75" customHeight="1" s="94">
      <c r="A60" s="36" t="n">
        <v>59</v>
      </c>
      <c r="B60" s="37" t="inlineStr">
        <is>
          <t>SELL</t>
        </is>
      </c>
      <c r="C60" s="38" t="n">
        <v>45975</v>
      </c>
      <c r="D60" s="39" t="n">
        <v>10000</v>
      </c>
      <c r="E60" s="40" t="n">
        <v>950.4299999999999</v>
      </c>
      <c r="F60" s="40" t="n">
        <v>950.4299999999999</v>
      </c>
      <c r="G60" s="41" t="n">
        <v>-10.2</v>
      </c>
      <c r="H60" s="41" t="n"/>
      <c r="I60" s="19" t="n">
        <v>284.420000000001</v>
      </c>
      <c r="J60" s="41" t="n">
        <v>321.5</v>
      </c>
      <c r="K60" s="42">
        <f>IF(AND(B60="SELL",E60&gt;0,J60&lt;&gt;""),J60/E60,0)</f>
        <v/>
      </c>
      <c r="L60" s="42" t="n">
        <v>0.328</v>
      </c>
      <c r="M60" s="40">
        <f>IF(AND(B60="SELL",L60&gt;0),D60*L60,0)</f>
        <v/>
      </c>
      <c r="N60" s="36" t="n"/>
      <c r="O60" s="43">
        <f>IF(AND(B60="SELL",G60&lt;&gt;0),Q60/ABS(G60),0)</f>
        <v/>
      </c>
      <c r="P60" s="43">
        <f>IF(AND(B60="SELL",D60&gt;0),R60/D60,0)</f>
        <v/>
      </c>
      <c r="Q60" s="44">
        <f>IF(AND(B60="SELL",D60&gt;0,E60&gt;0),(D60/E60)+G60,0)</f>
        <v/>
      </c>
      <c r="R60" s="45">
        <f>IF(B60="SELL",Q60*F60,0)</f>
        <v/>
      </c>
      <c r="S60" s="24">
        <f>S59+R60</f>
        <v/>
      </c>
    </row>
    <row r="61" ht="15.75" customHeight="1" s="94">
      <c r="A61" s="46" t="n">
        <v>60</v>
      </c>
      <c r="B61" s="47" t="inlineStr">
        <is>
          <t>SELL</t>
        </is>
      </c>
      <c r="C61" s="48" t="n">
        <v>45975</v>
      </c>
      <c r="D61" s="49" t="n">
        <v>50000</v>
      </c>
      <c r="E61" s="50" t="n">
        <v>950.4299999999999</v>
      </c>
      <c r="F61" s="50" t="n">
        <v>950.4299999999999</v>
      </c>
      <c r="G61" s="51" t="n">
        <v>-51.5</v>
      </c>
      <c r="H61" s="51" t="n"/>
      <c r="I61" s="30" t="n">
        <v>232.920000000001</v>
      </c>
      <c r="J61" s="51" t="n">
        <v>320.6</v>
      </c>
      <c r="K61" s="52">
        <f>IF(AND(B61="SELL",E61&gt;0,J61&lt;&gt;""),J61/E61,0)</f>
        <v/>
      </c>
      <c r="L61" s="52" t="n">
        <v>0.328</v>
      </c>
      <c r="M61" s="50">
        <f>IF(AND(B61="SELL",L61&gt;0),D61*L61,0)</f>
        <v/>
      </c>
      <c r="N61" s="46" t="n"/>
      <c r="O61" s="53">
        <f>IF(AND(B61="SELL",G61&lt;&gt;0),Q61/ABS(G61),0)</f>
        <v/>
      </c>
      <c r="P61" s="53">
        <f>IF(AND(B61="SELL",D61&gt;0),R61/D61,0)</f>
        <v/>
      </c>
      <c r="Q61" s="54">
        <f>IF(AND(B61="SELL",D61&gt;0,E61&gt;0),(D61/E61)+G61,0)</f>
        <v/>
      </c>
      <c r="R61" s="55">
        <f>IF(B61="SELL",Q61*F61,0)</f>
        <v/>
      </c>
      <c r="S61" s="35">
        <f>S60+R61</f>
        <v/>
      </c>
    </row>
    <row r="62" ht="15.75" customHeight="1" s="94">
      <c r="A62" s="36" t="n">
        <v>61</v>
      </c>
      <c r="B62" s="37" t="inlineStr">
        <is>
          <t>SELL</t>
        </is>
      </c>
      <c r="C62" s="38" t="n">
        <v>45975</v>
      </c>
      <c r="D62" s="39" t="n">
        <v>45000</v>
      </c>
      <c r="E62" s="40" t="n">
        <v>950.4299999999999</v>
      </c>
      <c r="F62" s="40" t="n">
        <v>950.4299999999999</v>
      </c>
      <c r="G62" s="41" t="n">
        <v>-45.41</v>
      </c>
      <c r="H62" s="41" t="n"/>
      <c r="I62" s="19" t="n">
        <v>187.510000000001</v>
      </c>
      <c r="J62" s="41" t="n">
        <v>325.004</v>
      </c>
      <c r="K62" s="42">
        <f>IF(AND(B62="SELL",E62&gt;0,J62&lt;&gt;""),J62/E62,0)</f>
        <v/>
      </c>
      <c r="L62" s="42" t="n">
        <v>0.328</v>
      </c>
      <c r="M62" s="40">
        <f>IF(AND(B62="SELL",L62&gt;0),D62*L62,0)</f>
        <v/>
      </c>
      <c r="N62" s="36" t="n"/>
      <c r="O62" s="43">
        <f>IF(AND(B62="SELL",G62&lt;&gt;0),Q62/ABS(G62),0)</f>
        <v/>
      </c>
      <c r="P62" s="43">
        <f>IF(AND(B62="SELL",D62&gt;0),R62/D62,0)</f>
        <v/>
      </c>
      <c r="Q62" s="44">
        <f>IF(AND(B62="SELL",D62&gt;0,E62&gt;0),(D62/E62)+G62,0)</f>
        <v/>
      </c>
      <c r="R62" s="45">
        <f>IF(B62="SELL",Q62*F62,0)</f>
        <v/>
      </c>
      <c r="S62" s="24">
        <f>S61+R62</f>
        <v/>
      </c>
    </row>
    <row r="63" ht="15.75" customHeight="1" s="94">
      <c r="A63" s="46" t="n">
        <v>62</v>
      </c>
      <c r="B63" s="47" t="inlineStr">
        <is>
          <t>SELL</t>
        </is>
      </c>
      <c r="C63" s="48" t="n">
        <v>45975</v>
      </c>
      <c r="D63" s="49" t="n">
        <v>10000</v>
      </c>
      <c r="E63" s="50" t="n">
        <v>950.4299999999999</v>
      </c>
      <c r="F63" s="50" t="n">
        <v>950.4299999999999</v>
      </c>
      <c r="G63" s="51" t="n">
        <v>-10.08</v>
      </c>
      <c r="H63" s="51" t="n"/>
      <c r="I63" s="30" t="n">
        <v>177.430000000001</v>
      </c>
      <c r="J63" s="51" t="n">
        <v>325.2</v>
      </c>
      <c r="K63" s="52">
        <f>IF(AND(B63="SELL",E63&gt;0,J63&lt;&gt;""),J63/E63,0)</f>
        <v/>
      </c>
      <c r="L63" s="52" t="n">
        <v>0.328</v>
      </c>
      <c r="M63" s="50">
        <f>IF(AND(B63="SELL",L63&gt;0),D63*L63,0)</f>
        <v/>
      </c>
      <c r="N63" s="46" t="n"/>
      <c r="O63" s="53">
        <f>IF(AND(B63="SELL",G63&lt;&gt;0),Q63/ABS(G63),0)</f>
        <v/>
      </c>
      <c r="P63" s="53">
        <f>IF(AND(B63="SELL",D63&gt;0),R63/D63,0)</f>
        <v/>
      </c>
      <c r="Q63" s="54">
        <f>IF(AND(B63="SELL",D63&gt;0,E63&gt;0),(D63/E63)+G63,0)</f>
        <v/>
      </c>
      <c r="R63" s="55">
        <f>IF(B63="SELL",Q63*F63,0)</f>
        <v/>
      </c>
      <c r="S63" s="35">
        <f>S62+R63</f>
        <v/>
      </c>
    </row>
    <row r="64" ht="15.75" customHeight="1" s="94">
      <c r="A64" s="36" t="n">
        <v>63</v>
      </c>
      <c r="B64" s="37" t="inlineStr">
        <is>
          <t>SELL</t>
        </is>
      </c>
      <c r="C64" s="38" t="n">
        <v>45975</v>
      </c>
      <c r="D64" s="39" t="n">
        <v>50000</v>
      </c>
      <c r="E64" s="40" t="n">
        <v>950.4299999999999</v>
      </c>
      <c r="F64" s="40" t="n">
        <v>950.4299999999999</v>
      </c>
      <c r="G64" s="41" t="n">
        <v>-50.69</v>
      </c>
      <c r="H64" s="41" t="n"/>
      <c r="I64" s="19" t="n">
        <v>126.740000000001</v>
      </c>
      <c r="J64" s="41" t="n">
        <v>323.515</v>
      </c>
      <c r="K64" s="42">
        <f>IF(AND(B64="SELL",E64&gt;0,J64&lt;&gt;""),J64/E64,0)</f>
        <v/>
      </c>
      <c r="L64" s="42" t="n">
        <v>0.328</v>
      </c>
      <c r="M64" s="40">
        <f>IF(AND(B64="SELL",L64&gt;0),D64*L64,0)</f>
        <v/>
      </c>
      <c r="N64" s="36" t="n"/>
      <c r="O64" s="43">
        <f>IF(AND(B64="SELL",G64&lt;&gt;0),Q64/ABS(G64),0)</f>
        <v/>
      </c>
      <c r="P64" s="43">
        <f>IF(AND(B64="SELL",D64&gt;0),R64/D64,0)</f>
        <v/>
      </c>
      <c r="Q64" s="44">
        <f>IF(AND(B64="SELL",D64&gt;0,E64&gt;0),(D64/E64)+G64,0)</f>
        <v/>
      </c>
      <c r="R64" s="45">
        <f>IF(B64="SELL",Q64*F64,0)</f>
        <v/>
      </c>
      <c r="S64" s="24">
        <f>S63+R64</f>
        <v/>
      </c>
    </row>
    <row r="65" ht="15.75" customHeight="1" s="94">
      <c r="A65" s="46" t="n">
        <v>64</v>
      </c>
      <c r="B65" s="47" t="inlineStr">
        <is>
          <t>SELL</t>
        </is>
      </c>
      <c r="C65" s="48" t="n">
        <v>45975</v>
      </c>
      <c r="D65" s="49" t="n">
        <v>25000</v>
      </c>
      <c r="E65" s="50" t="n">
        <v>950.4299999999999</v>
      </c>
      <c r="F65" s="50" t="n">
        <v>950.4299999999999</v>
      </c>
      <c r="G65" s="51" t="n">
        <v>-25.64</v>
      </c>
      <c r="H65" s="51" t="n"/>
      <c r="I65" s="30" t="n">
        <v>101.100000000001</v>
      </c>
      <c r="J65" s="51" t="n">
        <v>319.75</v>
      </c>
      <c r="K65" s="52">
        <f>IF(AND(B65="SELL",E65&gt;0,J65&lt;&gt;""),J65/E65,0)</f>
        <v/>
      </c>
      <c r="L65" s="52" t="n">
        <v>0.328</v>
      </c>
      <c r="M65" s="50">
        <f>IF(AND(B65="SELL",L65&gt;0),D65*L65,0)</f>
        <v/>
      </c>
      <c r="N65" s="46" t="n"/>
      <c r="O65" s="53">
        <f>IF(AND(B65="SELL",G65&lt;&gt;0),Q65/ABS(G65),0)</f>
        <v/>
      </c>
      <c r="P65" s="53">
        <f>IF(AND(B65="SELL",D65&gt;0),R65/D65,0)</f>
        <v/>
      </c>
      <c r="Q65" s="54">
        <f>IF(AND(B65="SELL",D65&gt;0,E65&gt;0),(D65/E65)+G65,0)</f>
        <v/>
      </c>
      <c r="R65" s="55">
        <f>IF(B65="SELL",Q65*F65,0)</f>
        <v/>
      </c>
      <c r="S65" s="35">
        <f>S64+R65</f>
        <v/>
      </c>
    </row>
    <row r="66" ht="15.75" customHeight="1" s="94">
      <c r="A66" s="36" t="n">
        <v>65</v>
      </c>
      <c r="B66" s="37" t="inlineStr">
        <is>
          <t>SELL</t>
        </is>
      </c>
      <c r="C66" s="38" t="n">
        <v>45975</v>
      </c>
      <c r="D66" s="39" t="n">
        <v>20000</v>
      </c>
      <c r="E66" s="40" t="n">
        <v>950.4299999999999</v>
      </c>
      <c r="F66" s="40" t="n">
        <v>950.4299999999999</v>
      </c>
      <c r="G66" s="41" t="n">
        <v>-20.55</v>
      </c>
      <c r="H66" s="41" t="n"/>
      <c r="I66" s="19" t="n">
        <v>80.55000000000059</v>
      </c>
      <c r="J66" s="41" t="n">
        <v>319.16</v>
      </c>
      <c r="K66" s="42">
        <f>IF(AND(B66="SELL",E66&gt;0,J66&lt;&gt;""),J66/E66,0)</f>
        <v/>
      </c>
      <c r="L66" s="42" t="n">
        <v>0.328</v>
      </c>
      <c r="M66" s="40">
        <f>IF(AND(B66="SELL",L66&gt;0),D66*L66,0)</f>
        <v/>
      </c>
      <c r="N66" s="36" t="n"/>
      <c r="O66" s="43">
        <f>IF(AND(B66="SELL",G66&lt;&gt;0),Q66/ABS(G66),0)</f>
        <v/>
      </c>
      <c r="P66" s="43">
        <f>IF(AND(B66="SELL",D66&gt;0),R66/D66,0)</f>
        <v/>
      </c>
      <c r="Q66" s="44">
        <f>IF(AND(B66="SELL",D66&gt;0,E66&gt;0),(D66/E66)+G66,0)</f>
        <v/>
      </c>
      <c r="R66" s="45">
        <f>IF(B66="SELL",Q66*F66,0)</f>
        <v/>
      </c>
      <c r="S66" s="24">
        <f>S65+R66</f>
        <v/>
      </c>
    </row>
    <row r="67" ht="15.75" customHeight="1" s="94">
      <c r="A67" s="46" t="n">
        <v>66</v>
      </c>
      <c r="B67" s="47" t="inlineStr">
        <is>
          <t>SELL</t>
        </is>
      </c>
      <c r="C67" s="48" t="n">
        <v>45976</v>
      </c>
      <c r="D67" s="49" t="n">
        <v>19700</v>
      </c>
      <c r="E67" s="50" t="n">
        <v>934.48</v>
      </c>
      <c r="F67" s="50" t="n">
        <v>934.48</v>
      </c>
      <c r="G67" s="51" t="n">
        <v>-20.13</v>
      </c>
      <c r="H67" s="51" t="n"/>
      <c r="I67" s="30" t="n">
        <v>60.4200000000006</v>
      </c>
      <c r="J67" s="51" t="n">
        <v>320.005</v>
      </c>
      <c r="K67" s="52">
        <f>IF(AND(B67="SELL",E67&gt;0,J67&lt;&gt;""),J67/E67,0)</f>
        <v/>
      </c>
      <c r="L67" s="52" t="n">
        <v>0.327</v>
      </c>
      <c r="M67" s="50">
        <f>IF(AND(B67="SELL",L67&gt;0),D67*L67,0)</f>
        <v/>
      </c>
      <c r="N67" s="46" t="n"/>
      <c r="O67" s="53">
        <f>IF(AND(B67="SELL",G67&lt;&gt;0),Q67/ABS(G67),0)</f>
        <v/>
      </c>
      <c r="P67" s="53">
        <f>IF(AND(B67="SELL",D67&gt;0),R67/D67,0)</f>
        <v/>
      </c>
      <c r="Q67" s="54">
        <f>IF(AND(B67="SELL",D67&gt;0,E67&gt;0),(D67/E67)+G67,0)</f>
        <v/>
      </c>
      <c r="R67" s="55">
        <f>IF(B67="SELL",Q67*F67,0)</f>
        <v/>
      </c>
      <c r="S67" s="35">
        <f>S66+R67</f>
        <v/>
      </c>
    </row>
    <row r="68" ht="15.75" customHeight="1" s="94">
      <c r="A68" s="36" t="n">
        <v>67</v>
      </c>
      <c r="B68" s="37" t="inlineStr">
        <is>
          <t>SELL</t>
        </is>
      </c>
      <c r="C68" s="38" t="n">
        <v>45976</v>
      </c>
      <c r="D68" s="39" t="n">
        <v>20000</v>
      </c>
      <c r="E68" s="40" t="n">
        <v>934.48</v>
      </c>
      <c r="F68" s="40" t="n">
        <v>934.48</v>
      </c>
      <c r="G68" s="41" t="n">
        <v>-20.48</v>
      </c>
      <c r="H68" s="41" t="n"/>
      <c r="I68" s="19" t="n">
        <v>39.9400000000006</v>
      </c>
      <c r="J68" s="41" t="n">
        <v>319.26</v>
      </c>
      <c r="K68" s="42">
        <f>IF(AND(B68="SELL",E68&gt;0,J68&lt;&gt;""),J68/E68,0)</f>
        <v/>
      </c>
      <c r="L68" s="42" t="n">
        <v>0.327</v>
      </c>
      <c r="M68" s="40">
        <f>IF(AND(B68="SELL",L68&gt;0),D68*L68,0)</f>
        <v/>
      </c>
      <c r="N68" s="36" t="n"/>
      <c r="O68" s="43">
        <f>IF(AND(B68="SELL",G68&lt;&gt;0),Q68/ABS(G68),0)</f>
        <v/>
      </c>
      <c r="P68" s="43">
        <f>IF(AND(B68="SELL",D68&gt;0),R68/D68,0)</f>
        <v/>
      </c>
      <c r="Q68" s="44">
        <f>IF(AND(B68="SELL",D68&gt;0,E68&gt;0),(D68/E68)+G68,0)</f>
        <v/>
      </c>
      <c r="R68" s="45">
        <f>IF(B68="SELL",Q68*F68,0)</f>
        <v/>
      </c>
      <c r="S68" s="24">
        <f>S67+R68</f>
        <v/>
      </c>
    </row>
    <row r="69" ht="15.75" customHeight="1" s="94">
      <c r="A69" s="25" t="n">
        <v>68</v>
      </c>
      <c r="B69" s="26" t="inlineStr">
        <is>
          <t>BUY</t>
        </is>
      </c>
      <c r="C69" s="27" t="n">
        <v>45976</v>
      </c>
      <c r="D69" s="28" t="n">
        <v>1500000</v>
      </c>
      <c r="E69" s="29" t="n">
        <v>934.48</v>
      </c>
      <c r="F69" s="29" t="n">
        <v>934.48</v>
      </c>
      <c r="G69" s="30" t="n">
        <v>1605.17</v>
      </c>
      <c r="H69" s="30" t="n"/>
      <c r="I69" s="30" t="n">
        <v>1645.11</v>
      </c>
      <c r="J69" s="30" t="n"/>
      <c r="K69" s="31">
        <f>IF(AND(B69="SELL",E69&gt;0,J69&lt;&gt;""),J69/E69,0)</f>
        <v/>
      </c>
      <c r="L69" s="31" t="n">
        <v>0</v>
      </c>
      <c r="M69" s="29">
        <f>IF(AND(B69="SELL",L69&gt;0),D69*L69,0)</f>
        <v/>
      </c>
      <c r="N69" s="25" t="n"/>
      <c r="O69" s="32">
        <f>IF(AND(B69="SELL",G69&lt;&gt;0),Q69/ABS(G69),0)</f>
        <v/>
      </c>
      <c r="P69" s="32">
        <f>IF(AND(B69="SELL",D69&gt;0),R69/D69,0)</f>
        <v/>
      </c>
      <c r="Q69" s="33">
        <f>IF(AND(B69="SELL",D69&gt;0,E69&gt;0),(D69/E69)+G69,0)</f>
        <v/>
      </c>
      <c r="R69" s="34">
        <f>IF(B69="SELL",Q69*F69,0)</f>
        <v/>
      </c>
      <c r="S69" s="35">
        <f>S68+R69</f>
        <v/>
      </c>
    </row>
    <row r="70" ht="15.75" customHeight="1" s="94">
      <c r="A70" s="36" t="n">
        <v>69</v>
      </c>
      <c r="B70" s="37" t="inlineStr">
        <is>
          <t>SELL</t>
        </is>
      </c>
      <c r="C70" s="38" t="n">
        <v>45977</v>
      </c>
      <c r="D70" s="39" t="n">
        <v>10000</v>
      </c>
      <c r="E70" s="40" t="n">
        <v>934.48</v>
      </c>
      <c r="F70" s="40" t="n">
        <v>934.48</v>
      </c>
      <c r="G70" s="41" t="n">
        <v>-10.2</v>
      </c>
      <c r="H70" s="41" t="n"/>
      <c r="I70" s="19" t="n">
        <v>1634.91</v>
      </c>
      <c r="J70" s="41" t="n">
        <v>322.521</v>
      </c>
      <c r="K70" s="42">
        <f>IF(AND(B70="SELL",E70&gt;0,J70&lt;&gt;""),J70/E70,0)</f>
        <v/>
      </c>
      <c r="L70" s="42" t="n">
        <v>0.329</v>
      </c>
      <c r="M70" s="40">
        <f>IF(AND(B70="SELL",L70&gt;0),D70*L70,0)</f>
        <v/>
      </c>
      <c r="N70" s="36" t="n"/>
      <c r="O70" s="43">
        <f>IF(AND(B70="SELL",G70&lt;&gt;0),Q70/ABS(G70),0)</f>
        <v/>
      </c>
      <c r="P70" s="43">
        <f>IF(AND(B70="SELL",D70&gt;0),R70/D70,0)</f>
        <v/>
      </c>
      <c r="Q70" s="44">
        <f>IF(AND(B70="SELL",D70&gt;0,E70&gt;0),(D70/E70)+G70,0)</f>
        <v/>
      </c>
      <c r="R70" s="45">
        <f>IF(B70="SELL",Q70*F70,0)</f>
        <v/>
      </c>
      <c r="S70" s="24">
        <f>S69+R70</f>
        <v/>
      </c>
    </row>
    <row r="71" ht="15.75" customHeight="1" s="94">
      <c r="A71" s="46" t="n">
        <v>70</v>
      </c>
      <c r="B71" s="47" t="inlineStr">
        <is>
          <t>SELL</t>
        </is>
      </c>
      <c r="C71" s="48" t="n">
        <v>45978</v>
      </c>
      <c r="D71" s="49" t="n">
        <v>45000</v>
      </c>
      <c r="E71" s="50" t="n">
        <v>934.48</v>
      </c>
      <c r="F71" s="50" t="n">
        <v>934.48</v>
      </c>
      <c r="G71" s="51" t="n">
        <v>-45.27</v>
      </c>
      <c r="H71" s="51" t="n"/>
      <c r="I71" s="30" t="n">
        <v>1589.64</v>
      </c>
      <c r="J71" s="51" t="n">
        <v>331.001</v>
      </c>
      <c r="K71" s="52">
        <f>IF(AND(B71="SELL",E71&gt;0,J71&lt;&gt;""),J71/E71,0)</f>
        <v/>
      </c>
      <c r="L71" s="52" t="n">
        <v>0.333</v>
      </c>
      <c r="M71" s="50">
        <f>IF(AND(B71="SELL",L71&gt;0),D71*L71,0)</f>
        <v/>
      </c>
      <c r="N71" s="46" t="n"/>
      <c r="O71" s="53">
        <f>IF(AND(B71="SELL",G71&lt;&gt;0),Q71/ABS(G71),0)</f>
        <v/>
      </c>
      <c r="P71" s="53">
        <f>IF(AND(B71="SELL",D71&gt;0),R71/D71,0)</f>
        <v/>
      </c>
      <c r="Q71" s="54">
        <f>IF(AND(B71="SELL",D71&gt;0,E71&gt;0),(D71/E71)+G71,0)</f>
        <v/>
      </c>
      <c r="R71" s="55">
        <f>IF(B71="SELL",Q71*F71,0)</f>
        <v/>
      </c>
      <c r="S71" s="35">
        <f>S70+R71</f>
        <v/>
      </c>
    </row>
    <row r="72" ht="15.75" customHeight="1" s="94">
      <c r="A72" s="36" t="n">
        <v>71</v>
      </c>
      <c r="B72" s="37" t="inlineStr">
        <is>
          <t>SELL</t>
        </is>
      </c>
      <c r="C72" s="38" t="n">
        <v>45978</v>
      </c>
      <c r="D72" s="39" t="n">
        <v>20000</v>
      </c>
      <c r="E72" s="40" t="n">
        <v>934.48</v>
      </c>
      <c r="F72" s="40" t="n">
        <v>934.48</v>
      </c>
      <c r="G72" s="41" t="n">
        <v>-20.64</v>
      </c>
      <c r="H72" s="41" t="n"/>
      <c r="I72" s="19" t="n">
        <v>1569</v>
      </c>
      <c r="J72" s="41" t="n">
        <v>322.53</v>
      </c>
      <c r="K72" s="42">
        <f>IF(AND(B72="SELL",E72&gt;0,J72&lt;&gt;""),J72/E72,0)</f>
        <v/>
      </c>
      <c r="L72" s="42" t="n">
        <v>0.333</v>
      </c>
      <c r="M72" s="40">
        <f>IF(AND(B72="SELL",L72&gt;0),D72*L72,0)</f>
        <v/>
      </c>
      <c r="N72" s="36" t="n"/>
      <c r="O72" s="43">
        <f>IF(AND(B72="SELL",G72&lt;&gt;0),Q72/ABS(G72),0)</f>
        <v/>
      </c>
      <c r="P72" s="43">
        <f>IF(AND(B72="SELL",D72&gt;0),R72/D72,0)</f>
        <v/>
      </c>
      <c r="Q72" s="44">
        <f>IF(AND(B72="SELL",D72&gt;0,E72&gt;0),(D72/E72)+G72,0)</f>
        <v/>
      </c>
      <c r="R72" s="45">
        <f>IF(B72="SELL",Q72*F72,0)</f>
        <v/>
      </c>
      <c r="S72" s="24">
        <f>S71+R72</f>
        <v/>
      </c>
    </row>
    <row r="73" ht="15.75" customHeight="1" s="94">
      <c r="A73" s="46" t="n">
        <v>72</v>
      </c>
      <c r="B73" s="47" t="inlineStr">
        <is>
          <t>SELL</t>
        </is>
      </c>
      <c r="C73" s="48" t="n">
        <v>45978</v>
      </c>
      <c r="D73" s="49" t="n">
        <v>10000</v>
      </c>
      <c r="E73" s="50" t="n">
        <v>934.48</v>
      </c>
      <c r="F73" s="50" t="n">
        <v>934.48</v>
      </c>
      <c r="G73" s="51" t="n">
        <v>-10.3</v>
      </c>
      <c r="H73" s="51" t="n"/>
      <c r="I73" s="30" t="n">
        <v>1558.7</v>
      </c>
      <c r="J73" s="51" t="n">
        <v>323.001</v>
      </c>
      <c r="K73" s="52">
        <f>IF(AND(B73="SELL",E73&gt;0,J73&lt;&gt;""),J73/E73,0)</f>
        <v/>
      </c>
      <c r="L73" s="52" t="n">
        <v>0.333</v>
      </c>
      <c r="M73" s="50">
        <f>IF(AND(B73="SELL",L73&gt;0),D73*L73,0)</f>
        <v/>
      </c>
      <c r="N73" s="46" t="n"/>
      <c r="O73" s="53">
        <f>IF(AND(B73="SELL",G73&lt;&gt;0),Q73/ABS(G73),0)</f>
        <v/>
      </c>
      <c r="P73" s="53">
        <f>IF(AND(B73="SELL",D73&gt;0),R73/D73,0)</f>
        <v/>
      </c>
      <c r="Q73" s="54">
        <f>IF(AND(B73="SELL",D73&gt;0,E73&gt;0),(D73/E73)+G73,0)</f>
        <v/>
      </c>
      <c r="R73" s="55">
        <f>IF(B73="SELL",Q73*F73,0)</f>
        <v/>
      </c>
      <c r="S73" s="35">
        <f>S72+R73</f>
        <v/>
      </c>
    </row>
    <row r="74" ht="15.75" customHeight="1" s="94">
      <c r="A74" s="36" t="n">
        <v>73</v>
      </c>
      <c r="B74" s="37" t="inlineStr">
        <is>
          <t>SELL</t>
        </is>
      </c>
      <c r="C74" s="38" t="n">
        <v>45978</v>
      </c>
      <c r="D74" s="39" t="n">
        <v>20000</v>
      </c>
      <c r="E74" s="40" t="n">
        <v>934.48</v>
      </c>
      <c r="F74" s="40" t="n">
        <v>934.48</v>
      </c>
      <c r="G74" s="41" t="n">
        <v>-20.16</v>
      </c>
      <c r="H74" s="41" t="n"/>
      <c r="I74" s="19" t="n">
        <v>1538.54</v>
      </c>
      <c r="J74" s="41" t="n">
        <v>330.2</v>
      </c>
      <c r="K74" s="42">
        <f>IF(AND(B74="SELL",E74&gt;0,J74&lt;&gt;""),J74/E74,0)</f>
        <v/>
      </c>
      <c r="L74" s="42" t="n">
        <v>0.333</v>
      </c>
      <c r="M74" s="40">
        <f>IF(AND(B74="SELL",L74&gt;0),D74*L74,0)</f>
        <v/>
      </c>
      <c r="N74" s="36" t="n"/>
      <c r="O74" s="43">
        <f>IF(AND(B74="SELL",G74&lt;&gt;0),Q74/ABS(G74),0)</f>
        <v/>
      </c>
      <c r="P74" s="43">
        <f>IF(AND(B74="SELL",D74&gt;0),R74/D74,0)</f>
        <v/>
      </c>
      <c r="Q74" s="44">
        <f>IF(AND(B74="SELL",D74&gt;0,E74&gt;0),(D74/E74)+G74,0)</f>
        <v/>
      </c>
      <c r="R74" s="45">
        <f>IF(B74="SELL",Q74*F74,0)</f>
        <v/>
      </c>
      <c r="S74" s="24">
        <f>S73+R74</f>
        <v/>
      </c>
    </row>
    <row r="75" ht="15.75" customHeight="1" s="94">
      <c r="A75" s="46" t="n">
        <v>74</v>
      </c>
      <c r="B75" s="47" t="inlineStr">
        <is>
          <t>SELL</t>
        </is>
      </c>
      <c r="C75" s="48" t="n">
        <v>45978</v>
      </c>
      <c r="D75" s="49" t="n">
        <v>20000</v>
      </c>
      <c r="E75" s="50" t="n">
        <v>934.48</v>
      </c>
      <c r="F75" s="50" t="n">
        <v>934.48</v>
      </c>
      <c r="G75" s="51" t="n">
        <v>-20.12</v>
      </c>
      <c r="H75" s="51" t="n"/>
      <c r="I75" s="30" t="n">
        <v>1518.42</v>
      </c>
      <c r="J75" s="51" t="n">
        <v>331</v>
      </c>
      <c r="K75" s="52">
        <f>IF(AND(B75="SELL",E75&gt;0,J75&lt;&gt;""),J75/E75,0)</f>
        <v/>
      </c>
      <c r="L75" s="52" t="n">
        <v>0.333</v>
      </c>
      <c r="M75" s="50">
        <f>IF(AND(B75="SELL",L75&gt;0),D75*L75,0)</f>
        <v/>
      </c>
      <c r="N75" s="46" t="n"/>
      <c r="O75" s="53">
        <f>IF(AND(B75="SELL",G75&lt;&gt;0),Q75/ABS(G75),0)</f>
        <v/>
      </c>
      <c r="P75" s="53">
        <f>IF(AND(B75="SELL",D75&gt;0),R75/D75,0)</f>
        <v/>
      </c>
      <c r="Q75" s="54">
        <f>IF(AND(B75="SELL",D75&gt;0,E75&gt;0),(D75/E75)+G75,0)</f>
        <v/>
      </c>
      <c r="R75" s="55">
        <f>IF(B75="SELL",Q75*F75,0)</f>
        <v/>
      </c>
      <c r="S75" s="35">
        <f>S74+R75</f>
        <v/>
      </c>
    </row>
    <row r="76" ht="15.75" customHeight="1" s="94">
      <c r="A76" s="36" t="n">
        <v>75</v>
      </c>
      <c r="B76" s="37" t="inlineStr">
        <is>
          <t>SELL</t>
        </is>
      </c>
      <c r="C76" s="38" t="n">
        <v>45980</v>
      </c>
      <c r="D76" s="39" t="n">
        <v>40000</v>
      </c>
      <c r="E76" s="40" t="n">
        <v>934.48</v>
      </c>
      <c r="F76" s="40" t="n">
        <v>934.48</v>
      </c>
      <c r="G76" s="41" t="n">
        <v>-41.01</v>
      </c>
      <c r="H76" s="41" t="n"/>
      <c r="I76" s="19" t="n">
        <v>1477.41</v>
      </c>
      <c r="J76" s="41" t="n">
        <v>336.45</v>
      </c>
      <c r="K76" s="42">
        <f>IF(AND(B76="SELL",E76&gt;0,J76&lt;&gt;""),J76/E76,0)</f>
        <v/>
      </c>
      <c r="L76" s="42" t="n">
        <v>0.345</v>
      </c>
      <c r="M76" s="40">
        <f>IF(AND(B76="SELL",L76&gt;0),D76*L76,0)</f>
        <v/>
      </c>
      <c r="N76" s="36" t="n"/>
      <c r="O76" s="43">
        <f>IF(AND(B76="SELL",G76&lt;&gt;0),Q76/ABS(G76),0)</f>
        <v/>
      </c>
      <c r="P76" s="43">
        <f>IF(AND(B76="SELL",D76&gt;0),R76/D76,0)</f>
        <v/>
      </c>
      <c r="Q76" s="44">
        <f>IF(AND(B76="SELL",D76&gt;0,E76&gt;0),(D76/E76)+G76,0)</f>
        <v/>
      </c>
      <c r="R76" s="45">
        <f>IF(B76="SELL",Q76*F76,0)</f>
        <v/>
      </c>
      <c r="S76" s="24">
        <f>S75+R76</f>
        <v/>
      </c>
    </row>
    <row r="77" ht="15.75" customHeight="1" s="94">
      <c r="A77" s="46" t="n">
        <v>76</v>
      </c>
      <c r="B77" s="47" t="inlineStr">
        <is>
          <t>SELL</t>
        </is>
      </c>
      <c r="C77" s="48" t="n">
        <v>45980</v>
      </c>
      <c r="D77" s="49" t="n">
        <v>60000</v>
      </c>
      <c r="E77" s="50" t="n">
        <v>934.48</v>
      </c>
      <c r="F77" s="50" t="n">
        <v>934.48</v>
      </c>
      <c r="G77" s="51" t="n">
        <v>-61</v>
      </c>
      <c r="H77" s="51" t="n"/>
      <c r="I77" s="30" t="n">
        <v>1416.41</v>
      </c>
      <c r="J77" s="51" t="n">
        <v>339.3</v>
      </c>
      <c r="K77" s="52">
        <f>IF(AND(B77="SELL",E77&gt;0,J77&lt;&gt;""),J77/E77,0)</f>
        <v/>
      </c>
      <c r="L77" s="52" t="n">
        <v>0.345</v>
      </c>
      <c r="M77" s="50">
        <f>IF(AND(B77="SELL",L77&gt;0),D77*L77,0)</f>
        <v/>
      </c>
      <c r="N77" s="46" t="n"/>
      <c r="O77" s="53">
        <f>IF(AND(B77="SELL",G77&lt;&gt;0),Q77/ABS(G77),0)</f>
        <v/>
      </c>
      <c r="P77" s="53">
        <f>IF(AND(B77="SELL",D77&gt;0),R77/D77,0)</f>
        <v/>
      </c>
      <c r="Q77" s="54">
        <f>IF(AND(B77="SELL",D77&gt;0,E77&gt;0),(D77/E77)+G77,0)</f>
        <v/>
      </c>
      <c r="R77" s="55">
        <f>IF(B77="SELL",Q77*F77,0)</f>
        <v/>
      </c>
      <c r="S77" s="35">
        <f>S76+R77</f>
        <v/>
      </c>
    </row>
    <row r="78" ht="15.75" customHeight="1" s="94">
      <c r="A78" s="36" t="n">
        <v>77</v>
      </c>
      <c r="B78" s="37" t="inlineStr">
        <is>
          <t>SELL</t>
        </is>
      </c>
      <c r="C78" s="38" t="n">
        <v>45980</v>
      </c>
      <c r="D78" s="39" t="n">
        <v>262000</v>
      </c>
      <c r="E78" s="40" t="n">
        <v>934.48</v>
      </c>
      <c r="F78" s="40" t="n">
        <v>934.48</v>
      </c>
      <c r="G78" s="41" t="n">
        <v>-267.15</v>
      </c>
      <c r="H78" s="41" t="n"/>
      <c r="I78" s="19" t="n">
        <v>1149.26</v>
      </c>
      <c r="J78" s="41" t="n">
        <v>339.28</v>
      </c>
      <c r="K78" s="42">
        <f>IF(AND(B78="SELL",E78&gt;0,J78&lt;&gt;""),J78/E78,0)</f>
        <v/>
      </c>
      <c r="L78" s="42" t="n">
        <v>0.3459545</v>
      </c>
      <c r="M78" s="40">
        <f>IF(AND(B78="SELL",L78&gt;0),D78*L78,0)</f>
        <v/>
      </c>
      <c r="N78" s="36" t="n"/>
      <c r="O78" s="43">
        <f>IF(AND(B78="SELL",G78&lt;&gt;0),Q78/ABS(G78),0)</f>
        <v/>
      </c>
      <c r="P78" s="43">
        <f>IF(AND(B78="SELL",D78&gt;0),R78/D78,0)</f>
        <v/>
      </c>
      <c r="Q78" s="44">
        <f>IF(AND(B78="SELL",D78&gt;0,E78&gt;0),(D78/E78)+G78,0)</f>
        <v/>
      </c>
      <c r="R78" s="45">
        <f>IF(B78="SELL",Q78*F78,0)</f>
        <v/>
      </c>
      <c r="S78" s="24">
        <f>S77+R78</f>
        <v/>
      </c>
    </row>
    <row r="79" ht="15.75" customHeight="1" s="94">
      <c r="A79" s="46" t="n">
        <v>78</v>
      </c>
      <c r="B79" s="47" t="inlineStr">
        <is>
          <t>SELL</t>
        </is>
      </c>
      <c r="C79" s="48" t="n">
        <v>45980</v>
      </c>
      <c r="D79" s="49" t="n">
        <v>55000</v>
      </c>
      <c r="E79" s="50" t="n">
        <v>934.48</v>
      </c>
      <c r="F79" s="50" t="n">
        <v>934.48</v>
      </c>
      <c r="G79" s="51" t="n">
        <v>-56.05</v>
      </c>
      <c r="H79" s="51" t="n"/>
      <c r="I79" s="30" t="n">
        <v>1093.21</v>
      </c>
      <c r="J79" s="51" t="n">
        <v>338.5</v>
      </c>
      <c r="K79" s="52">
        <f>IF(AND(B79="SELL",E79&gt;0,J79&lt;&gt;""),J79/E79,0)</f>
        <v/>
      </c>
      <c r="L79" s="52" t="n">
        <v>0.345</v>
      </c>
      <c r="M79" s="50">
        <f>IF(AND(B79="SELL",L79&gt;0),D79*L79,0)</f>
        <v/>
      </c>
      <c r="N79" s="46" t="n"/>
      <c r="O79" s="53">
        <f>IF(AND(B79="SELL",G79&lt;&gt;0),Q79/ABS(G79),0)</f>
        <v/>
      </c>
      <c r="P79" s="53">
        <f>IF(AND(B79="SELL",D79&gt;0),R79/D79,0)</f>
        <v/>
      </c>
      <c r="Q79" s="54">
        <f>IF(AND(B79="SELL",D79&gt;0,E79&gt;0),(D79/E79)+G79,0)</f>
        <v/>
      </c>
      <c r="R79" s="55">
        <f>IF(B79="SELL",Q79*F79,0)</f>
        <v/>
      </c>
      <c r="S79" s="35">
        <f>S78+R79</f>
        <v/>
      </c>
    </row>
    <row r="80" ht="15.75" customHeight="1" s="94">
      <c r="A80" s="36" t="n">
        <v>79</v>
      </c>
      <c r="B80" s="37" t="inlineStr">
        <is>
          <t>SELL</t>
        </is>
      </c>
      <c r="C80" s="38" t="n">
        <v>45981</v>
      </c>
      <c r="D80" s="39" t="n">
        <v>50000</v>
      </c>
      <c r="E80" s="40" t="n">
        <v>934.48</v>
      </c>
      <c r="F80" s="40" t="n">
        <v>934.48</v>
      </c>
      <c r="G80" s="41" t="n">
        <v>-51.03</v>
      </c>
      <c r="H80" s="41" t="n"/>
      <c r="I80" s="19" t="n">
        <v>1042.18</v>
      </c>
      <c r="J80" s="41" t="n">
        <v>341.9</v>
      </c>
      <c r="K80" s="42">
        <f>IF(AND(B80="SELL",E80&gt;0,J80&lt;&gt;""),J80/E80,0)</f>
        <v/>
      </c>
      <c r="L80" s="42" t="n">
        <v>0.349</v>
      </c>
      <c r="M80" s="40">
        <f>IF(AND(B80="SELL",L80&gt;0),D80*L80,0)</f>
        <v/>
      </c>
      <c r="N80" s="36" t="n"/>
      <c r="O80" s="43">
        <f>IF(AND(B80="SELL",G80&lt;&gt;0),Q80/ABS(G80),0)</f>
        <v/>
      </c>
      <c r="P80" s="43">
        <f>IF(AND(B80="SELL",D80&gt;0),R80/D80,0)</f>
        <v/>
      </c>
      <c r="Q80" s="44">
        <f>IF(AND(B80="SELL",D80&gt;0,E80&gt;0),(D80/E80)+G80,0)</f>
        <v/>
      </c>
      <c r="R80" s="45">
        <f>IF(B80="SELL",Q80*F80,0)</f>
        <v/>
      </c>
      <c r="S80" s="24">
        <f>S79+R80</f>
        <v/>
      </c>
    </row>
    <row r="81" ht="15.75" customHeight="1" s="94">
      <c r="A81" s="46" t="n">
        <v>80</v>
      </c>
      <c r="B81" s="47" t="inlineStr">
        <is>
          <t>SELL</t>
        </is>
      </c>
      <c r="C81" s="48" t="n">
        <v>45981</v>
      </c>
      <c r="D81" s="49" t="n">
        <v>100000</v>
      </c>
      <c r="E81" s="50" t="n">
        <v>934.48</v>
      </c>
      <c r="F81" s="50" t="n">
        <v>934.48</v>
      </c>
      <c r="G81" s="51" t="n">
        <v>-107.07</v>
      </c>
      <c r="H81" s="51" t="n"/>
      <c r="I81" s="30" t="n">
        <v>935.110000000001</v>
      </c>
      <c r="J81" s="51" t="n"/>
      <c r="K81" s="52">
        <f>IF(AND(B81="SELL",E81&gt;0,J81&lt;&gt;""),J81/E81,0)</f>
        <v/>
      </c>
      <c r="L81" s="52" t="n">
        <v>0</v>
      </c>
      <c r="M81" s="50">
        <f>IF(AND(B81="SELL",L81&gt;0),D81*L81,0)</f>
        <v/>
      </c>
      <c r="N81" s="46" t="n"/>
      <c r="O81" s="53">
        <f>IF(AND(B81="SELL",G81&lt;&gt;0),Q81/ABS(G81),0)</f>
        <v/>
      </c>
      <c r="P81" s="53">
        <f>IF(AND(B81="SELL",D81&gt;0),R81/D81,0)</f>
        <v/>
      </c>
      <c r="Q81" s="54">
        <f>IF(AND(B81="SELL",D81&gt;0,E81&gt;0),(D81/E81)+G81,0)</f>
        <v/>
      </c>
      <c r="R81" s="55">
        <f>IF(B81="SELL",Q81*F81,0)</f>
        <v/>
      </c>
      <c r="S81" s="35">
        <f>S80+R81</f>
        <v/>
      </c>
    </row>
    <row r="82" ht="15.75" customHeight="1" s="94">
      <c r="A82" s="36" t="n">
        <v>81</v>
      </c>
      <c r="B82" s="37" t="inlineStr">
        <is>
          <t>SELL</t>
        </is>
      </c>
      <c r="C82" s="38" t="n">
        <v>45982</v>
      </c>
      <c r="D82" s="39" t="n">
        <v>105000</v>
      </c>
      <c r="E82" s="40" t="n">
        <v>934.48</v>
      </c>
      <c r="F82" s="40" t="n">
        <v>934.48</v>
      </c>
      <c r="G82" s="41" t="n">
        <v>-106.93</v>
      </c>
      <c r="H82" s="41" t="n"/>
      <c r="I82" s="19" t="n">
        <v>828.180000000001</v>
      </c>
      <c r="J82" s="41" t="n">
        <v>341.7</v>
      </c>
      <c r="K82" s="42">
        <f>IF(AND(B82="SELL",E82&gt;0,J82&lt;&gt;""),J82/E82,0)</f>
        <v/>
      </c>
      <c r="L82" s="42" t="n">
        <v>0.348</v>
      </c>
      <c r="M82" s="40">
        <f>IF(AND(B82="SELL",L82&gt;0),D82*L82,0)</f>
        <v/>
      </c>
      <c r="N82" s="36" t="n"/>
      <c r="O82" s="43">
        <f>IF(AND(B82="SELL",G82&lt;&gt;0),Q82/ABS(G82),0)</f>
        <v/>
      </c>
      <c r="P82" s="43">
        <f>IF(AND(B82="SELL",D82&gt;0),R82/D82,0)</f>
        <v/>
      </c>
      <c r="Q82" s="44">
        <f>IF(AND(B82="SELL",D82&gt;0,E82&gt;0),(D82/E82)+G82,0)</f>
        <v/>
      </c>
      <c r="R82" s="45">
        <f>IF(B82="SELL",Q82*F82,0)</f>
        <v/>
      </c>
      <c r="S82" s="24">
        <f>S81+R82</f>
        <v/>
      </c>
    </row>
    <row r="83" ht="15.75" customHeight="1" s="94">
      <c r="A83" s="46" t="n">
        <v>82</v>
      </c>
      <c r="B83" s="47" t="inlineStr">
        <is>
          <t>SELL</t>
        </is>
      </c>
      <c r="C83" s="48" t="n">
        <v>45982</v>
      </c>
      <c r="D83" s="49" t="n">
        <v>15000</v>
      </c>
      <c r="E83" s="50" t="n">
        <v>934.48</v>
      </c>
      <c r="F83" s="50" t="n">
        <v>934.48</v>
      </c>
      <c r="G83" s="51" t="n">
        <v>-15.55</v>
      </c>
      <c r="H83" s="51" t="n"/>
      <c r="I83" s="30" t="n">
        <v>812.630000000001</v>
      </c>
      <c r="J83" s="51" t="n">
        <v>335.537</v>
      </c>
      <c r="K83" s="52">
        <f>IF(AND(B83="SELL",E83&gt;0,J83&lt;&gt;""),J83/E83,0)</f>
        <v/>
      </c>
      <c r="L83" s="52" t="n">
        <v>0.348</v>
      </c>
      <c r="M83" s="50">
        <f>IF(AND(B83="SELL",L83&gt;0),D83*L83,0)</f>
        <v/>
      </c>
      <c r="N83" s="46" t="n"/>
      <c r="O83" s="53">
        <f>IF(AND(B83="SELL",G83&lt;&gt;0),Q83/ABS(G83),0)</f>
        <v/>
      </c>
      <c r="P83" s="53">
        <f>IF(AND(B83="SELL",D83&gt;0),R83/D83,0)</f>
        <v/>
      </c>
      <c r="Q83" s="54">
        <f>IF(AND(B83="SELL",D83&gt;0,E83&gt;0),(D83/E83)+G83,0)</f>
        <v/>
      </c>
      <c r="R83" s="55">
        <f>IF(B83="SELL",Q83*F83,0)</f>
        <v/>
      </c>
      <c r="S83" s="35">
        <f>S82+R83</f>
        <v/>
      </c>
    </row>
    <row r="84" ht="15.75" customHeight="1" s="94">
      <c r="A84" s="36" t="n">
        <v>83</v>
      </c>
      <c r="B84" s="37" t="inlineStr">
        <is>
          <t>SELL</t>
        </is>
      </c>
      <c r="C84" s="38" t="n">
        <v>45983</v>
      </c>
      <c r="D84" s="39" t="n">
        <v>40000</v>
      </c>
      <c r="E84" s="40" t="n">
        <v>934.48</v>
      </c>
      <c r="F84" s="40" t="n">
        <v>934.48</v>
      </c>
      <c r="G84" s="41" t="n">
        <v>-40.51</v>
      </c>
      <c r="H84" s="41" t="n"/>
      <c r="I84" s="19" t="n">
        <v>772.120000000001</v>
      </c>
      <c r="J84" s="41" t="n">
        <v>342.61</v>
      </c>
      <c r="K84" s="42">
        <f>IF(AND(B84="SELL",E84&gt;0,J84&lt;&gt;""),J84/E84,0)</f>
        <v/>
      </c>
      <c r="L84" s="42" t="n">
        <v>0.347</v>
      </c>
      <c r="M84" s="40">
        <f>IF(AND(B84="SELL",L84&gt;0),D84*L84,0)</f>
        <v/>
      </c>
      <c r="N84" s="36" t="n"/>
      <c r="O84" s="43">
        <f>IF(AND(B84="SELL",G84&lt;&gt;0),Q84/ABS(G84),0)</f>
        <v/>
      </c>
      <c r="P84" s="43">
        <f>IF(AND(B84="SELL",D84&gt;0),R84/D84,0)</f>
        <v/>
      </c>
      <c r="Q84" s="44">
        <f>IF(AND(B84="SELL",D84&gt;0,E84&gt;0),(D84/E84)+G84,0)</f>
        <v/>
      </c>
      <c r="R84" s="45">
        <f>IF(B84="SELL",Q84*F84,0)</f>
        <v/>
      </c>
      <c r="S84" s="24">
        <f>S83+R84</f>
        <v/>
      </c>
    </row>
    <row r="85" ht="15.75" customHeight="1" s="94">
      <c r="A85" s="46" t="n">
        <v>84</v>
      </c>
      <c r="B85" s="47" t="inlineStr">
        <is>
          <t>SELL</t>
        </is>
      </c>
      <c r="C85" s="48" t="n">
        <v>45983</v>
      </c>
      <c r="D85" s="49" t="n">
        <v>40000</v>
      </c>
      <c r="E85" s="50" t="n">
        <v>934.48</v>
      </c>
      <c r="F85" s="50" t="n">
        <v>934.48</v>
      </c>
      <c r="G85" s="51" t="n">
        <v>-40.46</v>
      </c>
      <c r="H85" s="51" t="n"/>
      <c r="I85" s="30" t="n">
        <v>731.660000000001</v>
      </c>
      <c r="J85" s="51" t="n">
        <v>343</v>
      </c>
      <c r="K85" s="52">
        <f>IF(AND(B85="SELL",E85&gt;0,J85&lt;&gt;""),J85/E85,0)</f>
        <v/>
      </c>
      <c r="L85" s="52" t="n">
        <v>0.347</v>
      </c>
      <c r="M85" s="50">
        <f>IF(AND(B85="SELL",L85&gt;0),D85*L85,0)</f>
        <v/>
      </c>
      <c r="N85" s="46" t="n"/>
      <c r="O85" s="53">
        <f>IF(AND(B85="SELL",G85&lt;&gt;0),Q85/ABS(G85),0)</f>
        <v/>
      </c>
      <c r="P85" s="53">
        <f>IF(AND(B85="SELL",D85&gt;0),R85/D85,0)</f>
        <v/>
      </c>
      <c r="Q85" s="54">
        <f>IF(AND(B85="SELL",D85&gt;0,E85&gt;0),(D85/E85)+G85,0)</f>
        <v/>
      </c>
      <c r="R85" s="55">
        <f>IF(B85="SELL",Q85*F85,0)</f>
        <v/>
      </c>
      <c r="S85" s="35">
        <f>S84+R85</f>
        <v/>
      </c>
    </row>
    <row r="86" ht="15.75" customHeight="1" s="94">
      <c r="A86" s="36" t="n">
        <v>85</v>
      </c>
      <c r="B86" s="37" t="inlineStr">
        <is>
          <t>SELL</t>
        </is>
      </c>
      <c r="C86" s="38" t="n">
        <v>45983</v>
      </c>
      <c r="D86" s="39" t="n">
        <v>24000</v>
      </c>
      <c r="E86" s="40" t="n">
        <v>934.48</v>
      </c>
      <c r="F86" s="40" t="n">
        <v>934.48</v>
      </c>
      <c r="G86" s="41" t="n">
        <v>-24.42</v>
      </c>
      <c r="H86" s="41" t="n"/>
      <c r="I86" s="19" t="n">
        <v>707.240000000001</v>
      </c>
      <c r="J86" s="41" t="n">
        <v>340.9</v>
      </c>
      <c r="K86" s="42">
        <f>IF(AND(B86="SELL",E86&gt;0,J86&lt;&gt;""),J86/E86,0)</f>
        <v/>
      </c>
      <c r="L86" s="42" t="n">
        <v>0.347</v>
      </c>
      <c r="M86" s="40">
        <f>IF(AND(B86="SELL",L86&gt;0),D86*L86,0)</f>
        <v/>
      </c>
      <c r="N86" s="36" t="n"/>
      <c r="O86" s="43">
        <f>IF(AND(B86="SELL",G86&lt;&gt;0),Q86/ABS(G86),0)</f>
        <v/>
      </c>
      <c r="P86" s="43">
        <f>IF(AND(B86="SELL",D86&gt;0),R86/D86,0)</f>
        <v/>
      </c>
      <c r="Q86" s="44">
        <f>IF(AND(B86="SELL",D86&gt;0,E86&gt;0),(D86/E86)+G86,0)</f>
        <v/>
      </c>
      <c r="R86" s="45">
        <f>IF(B86="SELL",Q86*F86,0)</f>
        <v/>
      </c>
      <c r="S86" s="24">
        <f>S85+R86</f>
        <v/>
      </c>
    </row>
    <row r="87" ht="15.75" customHeight="1" s="94">
      <c r="A87" s="46" t="n">
        <v>86</v>
      </c>
      <c r="B87" s="47" t="inlineStr">
        <is>
          <t>SELL</t>
        </is>
      </c>
      <c r="C87" s="48" t="n">
        <v>45984</v>
      </c>
      <c r="D87" s="49" t="n">
        <v>20000</v>
      </c>
      <c r="E87" s="50" t="n">
        <v>934.48</v>
      </c>
      <c r="F87" s="50" t="n">
        <v>934.48</v>
      </c>
      <c r="G87" s="51" t="n">
        <v>-20.96</v>
      </c>
      <c r="H87" s="51" t="n"/>
      <c r="I87" s="30" t="n">
        <v>686.280000000001</v>
      </c>
      <c r="J87" s="51" t="n">
        <v>331.01</v>
      </c>
      <c r="K87" s="52">
        <f>IF(AND(B87="SELL",E87&gt;0,J87&lt;&gt;""),J87/E87,0)</f>
        <v/>
      </c>
      <c r="L87" s="52" t="n">
        <v>0.347</v>
      </c>
      <c r="M87" s="50">
        <f>IF(AND(B87="SELL",L87&gt;0),D87*L87,0)</f>
        <v/>
      </c>
      <c r="N87" s="46" t="n"/>
      <c r="O87" s="53">
        <f>IF(AND(B87="SELL",G87&lt;&gt;0),Q87/ABS(G87),0)</f>
        <v/>
      </c>
      <c r="P87" s="53">
        <f>IF(AND(B87="SELL",D87&gt;0),R87/D87,0)</f>
        <v/>
      </c>
      <c r="Q87" s="54">
        <f>IF(AND(B87="SELL",D87&gt;0,E87&gt;0),(D87/E87)+G87,0)</f>
        <v/>
      </c>
      <c r="R87" s="55">
        <f>IF(B87="SELL",Q87*F87,0)</f>
        <v/>
      </c>
      <c r="S87" s="35">
        <f>S86+R87</f>
        <v/>
      </c>
    </row>
    <row r="88" ht="15.75" customHeight="1" s="94">
      <c r="A88" s="36" t="n">
        <v>87</v>
      </c>
      <c r="B88" s="37" t="inlineStr">
        <is>
          <t>SELL</t>
        </is>
      </c>
      <c r="C88" s="38" t="n">
        <v>45984</v>
      </c>
      <c r="D88" s="39" t="n">
        <v>80000</v>
      </c>
      <c r="E88" s="40" t="n">
        <v>934.48</v>
      </c>
      <c r="F88" s="40" t="n">
        <v>934.48</v>
      </c>
      <c r="G88" s="41" t="n">
        <v>-79.84999999999999</v>
      </c>
      <c r="H88" s="41" t="n"/>
      <c r="I88" s="19" t="n">
        <v>606.430000000001</v>
      </c>
      <c r="J88" s="41" t="n">
        <v>349.655</v>
      </c>
      <c r="K88" s="42">
        <f>IF(AND(B88="SELL",E88&gt;0,J88&lt;&gt;""),J88/E88,0)</f>
        <v/>
      </c>
      <c r="L88" s="42" t="n">
        <v>0.349</v>
      </c>
      <c r="M88" s="40">
        <f>IF(AND(B88="SELL",L88&gt;0),D88*L88,0)</f>
        <v/>
      </c>
      <c r="N88" s="36" t="n"/>
      <c r="O88" s="43">
        <f>IF(AND(B88="SELL",G88&lt;&gt;0),Q88/ABS(G88),0)</f>
        <v/>
      </c>
      <c r="P88" s="43">
        <f>IF(AND(B88="SELL",D88&gt;0),R88/D88,0)</f>
        <v/>
      </c>
      <c r="Q88" s="44">
        <f>IF(AND(B88="SELL",D88&gt;0,E88&gt;0),(D88/E88)+G88,0)</f>
        <v/>
      </c>
      <c r="R88" s="45">
        <f>IF(B88="SELL",Q88*F88,0)</f>
        <v/>
      </c>
      <c r="S88" s="24">
        <f>S87+R88</f>
        <v/>
      </c>
    </row>
    <row r="89" ht="15.75" customHeight="1" s="94">
      <c r="A89" s="46" t="n">
        <v>88</v>
      </c>
      <c r="B89" s="47" t="inlineStr">
        <is>
          <t>SELL</t>
        </is>
      </c>
      <c r="C89" s="48" t="n">
        <v>45984</v>
      </c>
      <c r="D89" s="49" t="n">
        <v>30000</v>
      </c>
      <c r="E89" s="50" t="n">
        <v>934.48</v>
      </c>
      <c r="F89" s="50" t="n">
        <v>934.48</v>
      </c>
      <c r="G89" s="51" t="n">
        <v>-29.99</v>
      </c>
      <c r="H89" s="51" t="n"/>
      <c r="I89" s="30" t="n">
        <v>576.440000000001</v>
      </c>
      <c r="J89" s="51" t="n">
        <v>349.06</v>
      </c>
      <c r="K89" s="52">
        <f>IF(AND(B89="SELL",E89&gt;0,J89&lt;&gt;""),J89/E89,0)</f>
        <v/>
      </c>
      <c r="L89" s="52" t="n">
        <v>0.349</v>
      </c>
      <c r="M89" s="50">
        <f>IF(AND(B89="SELL",L89&gt;0),D89*L89,0)</f>
        <v/>
      </c>
      <c r="N89" s="46" t="n"/>
      <c r="O89" s="53">
        <f>IF(AND(B89="SELL",G89&lt;&gt;0),Q89/ABS(G89),0)</f>
        <v/>
      </c>
      <c r="P89" s="53">
        <f>IF(AND(B89="SELL",D89&gt;0),R89/D89,0)</f>
        <v/>
      </c>
      <c r="Q89" s="54">
        <f>IF(AND(B89="SELL",D89&gt;0,E89&gt;0),(D89/E89)+G89,0)</f>
        <v/>
      </c>
      <c r="R89" s="55">
        <f>IF(B89="SELL",Q89*F89,0)</f>
        <v/>
      </c>
      <c r="S89" s="35">
        <f>S88+R89</f>
        <v/>
      </c>
    </row>
    <row r="90" ht="15.75" customHeight="1" s="94">
      <c r="A90" s="36" t="n">
        <v>89</v>
      </c>
      <c r="B90" s="37" t="inlineStr">
        <is>
          <t>SELL</t>
        </is>
      </c>
      <c r="C90" s="38" t="n">
        <v>45986</v>
      </c>
      <c r="D90" s="39" t="n">
        <v>20000</v>
      </c>
      <c r="E90" s="40" t="n">
        <v>934.48</v>
      </c>
      <c r="F90" s="40" t="n">
        <v>934.48</v>
      </c>
      <c r="G90" s="41" t="n">
        <v>-20.22</v>
      </c>
      <c r="H90" s="41" t="n"/>
      <c r="I90" s="19" t="n">
        <v>556.2200000000011</v>
      </c>
      <c r="J90" s="41" t="n">
        <v>354</v>
      </c>
      <c r="K90" s="42">
        <f>IF(AND(B90="SELL",E90&gt;0,J90&lt;&gt;""),J90/E90,0)</f>
        <v/>
      </c>
      <c r="L90" s="42" t="n">
        <v>0.358</v>
      </c>
      <c r="M90" s="40">
        <f>IF(AND(B90="SELL",L90&gt;0),D90*L90,0)</f>
        <v/>
      </c>
      <c r="N90" s="36" t="n"/>
      <c r="O90" s="43">
        <f>IF(AND(B90="SELL",G90&lt;&gt;0),Q90/ABS(G90),0)</f>
        <v/>
      </c>
      <c r="P90" s="43">
        <f>IF(AND(B90="SELL",D90&gt;0),R90/D90,0)</f>
        <v/>
      </c>
      <c r="Q90" s="44">
        <f>IF(AND(B90="SELL",D90&gt;0,E90&gt;0),(D90/E90)+G90,0)</f>
        <v/>
      </c>
      <c r="R90" s="45">
        <f>IF(B90="SELL",Q90*F90,0)</f>
        <v/>
      </c>
      <c r="S90" s="24">
        <f>S89+R90</f>
        <v/>
      </c>
    </row>
    <row r="91" ht="15.75" customHeight="1" s="94">
      <c r="A91" s="46" t="n">
        <v>90</v>
      </c>
      <c r="B91" s="47" t="inlineStr">
        <is>
          <t>SELL</t>
        </is>
      </c>
      <c r="C91" s="48" t="n">
        <v>45986</v>
      </c>
      <c r="D91" s="49" t="n">
        <v>13580</v>
      </c>
      <c r="E91" s="50" t="n">
        <v>934.48</v>
      </c>
      <c r="F91" s="50" t="n">
        <v>934.48</v>
      </c>
      <c r="G91" s="51" t="n">
        <v>-13.67</v>
      </c>
      <c r="H91" s="51" t="n"/>
      <c r="I91" s="30" t="n">
        <v>542.550000000001</v>
      </c>
      <c r="J91" s="51" t="n">
        <v>355.5</v>
      </c>
      <c r="K91" s="52">
        <f>IF(AND(B91="SELL",E91&gt;0,J91&lt;&gt;""),J91/E91,0)</f>
        <v/>
      </c>
      <c r="L91" s="52" t="n">
        <v>0.358</v>
      </c>
      <c r="M91" s="50">
        <f>IF(AND(B91="SELL",L91&gt;0),D91*L91,0)</f>
        <v/>
      </c>
      <c r="N91" s="46" t="n"/>
      <c r="O91" s="53">
        <f>IF(AND(B91="SELL",G91&lt;&gt;0),Q91/ABS(G91),0)</f>
        <v/>
      </c>
      <c r="P91" s="53">
        <f>IF(AND(B91="SELL",D91&gt;0),R91/D91,0)</f>
        <v/>
      </c>
      <c r="Q91" s="54">
        <f>IF(AND(B91="SELL",D91&gt;0,E91&gt;0),(D91/E91)+G91,0)</f>
        <v/>
      </c>
      <c r="R91" s="55">
        <f>IF(B91="SELL",Q91*F91,0)</f>
        <v/>
      </c>
      <c r="S91" s="35">
        <f>S90+R91</f>
        <v/>
      </c>
    </row>
    <row r="92" ht="15.75" customHeight="1" s="94">
      <c r="A92" s="36" t="n">
        <v>91</v>
      </c>
      <c r="B92" s="37" t="inlineStr">
        <is>
          <t>SELL</t>
        </is>
      </c>
      <c r="C92" s="38" t="n">
        <v>45986</v>
      </c>
      <c r="D92" s="39" t="n">
        <v>10000</v>
      </c>
      <c r="E92" s="40" t="n">
        <v>934.48</v>
      </c>
      <c r="F92" s="40" t="n">
        <v>934.48</v>
      </c>
      <c r="G92" s="41" t="n">
        <v>-10.08</v>
      </c>
      <c r="H92" s="41" t="n"/>
      <c r="I92" s="19" t="n">
        <v>532.4700000000011</v>
      </c>
      <c r="J92" s="41" t="n">
        <v>355.13</v>
      </c>
      <c r="K92" s="42">
        <f>IF(AND(B92="SELL",E92&gt;0,J92&lt;&gt;""),J92/E92,0)</f>
        <v/>
      </c>
      <c r="L92" s="42" t="n">
        <v>0.358</v>
      </c>
      <c r="M92" s="40">
        <f>IF(AND(B92="SELL",L92&gt;0),D92*L92,0)</f>
        <v/>
      </c>
      <c r="N92" s="36" t="n"/>
      <c r="O92" s="43">
        <f>IF(AND(B92="SELL",G92&lt;&gt;0),Q92/ABS(G92),0)</f>
        <v/>
      </c>
      <c r="P92" s="43">
        <f>IF(AND(B92="SELL",D92&gt;0),R92/D92,0)</f>
        <v/>
      </c>
      <c r="Q92" s="44">
        <f>IF(AND(B92="SELL",D92&gt;0,E92&gt;0),(D92/E92)+G92,0)</f>
        <v/>
      </c>
      <c r="R92" s="45">
        <f>IF(B92="SELL",Q92*F92,0)</f>
        <v/>
      </c>
      <c r="S92" s="24">
        <f>S91+R92</f>
        <v/>
      </c>
    </row>
    <row r="93" ht="15.75" customHeight="1" s="94">
      <c r="A93" s="46" t="n">
        <v>92</v>
      </c>
      <c r="B93" s="47" t="inlineStr">
        <is>
          <t>SELL</t>
        </is>
      </c>
      <c r="C93" s="48" t="n">
        <v>45986</v>
      </c>
      <c r="D93" s="49" t="n">
        <v>125000</v>
      </c>
      <c r="E93" s="50" t="n">
        <v>934.48</v>
      </c>
      <c r="F93" s="50" t="n">
        <v>934.48</v>
      </c>
      <c r="G93" s="51" t="n">
        <v>-124.85</v>
      </c>
      <c r="H93" s="51" t="n"/>
      <c r="I93" s="30" t="n">
        <v>407.620000000001</v>
      </c>
      <c r="J93" s="51" t="n">
        <v>358.41</v>
      </c>
      <c r="K93" s="52">
        <f>IF(AND(B93="SELL",E93&gt;0,J93&lt;&gt;""),J93/E93,0)</f>
        <v/>
      </c>
      <c r="L93" s="52" t="n">
        <v>0.358</v>
      </c>
      <c r="M93" s="50">
        <f>IF(AND(B93="SELL",L93&gt;0),D93*L93,0)</f>
        <v/>
      </c>
      <c r="N93" s="46" t="n"/>
      <c r="O93" s="53">
        <f>IF(AND(B93="SELL",G93&lt;&gt;0),Q93/ABS(G93),0)</f>
        <v/>
      </c>
      <c r="P93" s="53">
        <f>IF(AND(B93="SELL",D93&gt;0),R93/D93,0)</f>
        <v/>
      </c>
      <c r="Q93" s="54">
        <f>IF(AND(B93="SELL",D93&gt;0,E93&gt;0),(D93/E93)+G93,0)</f>
        <v/>
      </c>
      <c r="R93" s="55">
        <f>IF(B93="SELL",Q93*F93,0)</f>
        <v/>
      </c>
      <c r="S93" s="35">
        <f>S92+R93</f>
        <v/>
      </c>
    </row>
    <row r="94" ht="15.75" customHeight="1" s="94">
      <c r="A94" s="36" t="n">
        <v>93</v>
      </c>
      <c r="B94" s="37" t="inlineStr">
        <is>
          <t>SELL</t>
        </is>
      </c>
      <c r="C94" s="38" t="n">
        <v>45986</v>
      </c>
      <c r="D94" s="39" t="n">
        <v>958</v>
      </c>
      <c r="E94" s="40" t="n">
        <v>934.48</v>
      </c>
      <c r="F94" s="40" t="n">
        <v>934.48</v>
      </c>
      <c r="G94" s="41" t="n">
        <v>-0.98</v>
      </c>
      <c r="H94" s="41" t="n"/>
      <c r="I94" s="19" t="n">
        <v>406.640000000001</v>
      </c>
      <c r="J94" s="41" t="n">
        <v>348</v>
      </c>
      <c r="K94" s="42">
        <f>IF(AND(B94="SELL",E94&gt;0,J94&lt;&gt;""),J94/E94,0)</f>
        <v/>
      </c>
      <c r="L94" s="42" t="n">
        <v>0.358</v>
      </c>
      <c r="M94" s="40">
        <f>IF(AND(B94="SELL",L94&gt;0),D94*L94,0)</f>
        <v/>
      </c>
      <c r="N94" s="36" t="n"/>
      <c r="O94" s="43">
        <f>IF(AND(B94="SELL",G94&lt;&gt;0),Q94/ABS(G94),0)</f>
        <v/>
      </c>
      <c r="P94" s="43">
        <f>IF(AND(B94="SELL",D94&gt;0),R94/D94,0)</f>
        <v/>
      </c>
      <c r="Q94" s="44">
        <f>IF(AND(B94="SELL",D94&gt;0,E94&gt;0),(D94/E94)+G94,0)</f>
        <v/>
      </c>
      <c r="R94" s="45">
        <f>IF(B94="SELL",Q94*F94,0)</f>
        <v/>
      </c>
      <c r="S94" s="24">
        <f>S93+R94</f>
        <v/>
      </c>
    </row>
    <row r="95" ht="15.75" customHeight="1" s="94">
      <c r="A95" s="46" t="n">
        <v>94</v>
      </c>
      <c r="B95" s="47" t="inlineStr">
        <is>
          <t>SELL</t>
        </is>
      </c>
      <c r="C95" s="48" t="n">
        <v>45986</v>
      </c>
      <c r="D95" s="49" t="n">
        <v>50000</v>
      </c>
      <c r="E95" s="50" t="n">
        <v>934.48</v>
      </c>
      <c r="F95" s="50" t="n">
        <v>934.48</v>
      </c>
      <c r="G95" s="51" t="n">
        <v>-48.94</v>
      </c>
      <c r="H95" s="51" t="n"/>
      <c r="I95" s="30" t="n">
        <v>357.700000000001</v>
      </c>
      <c r="J95" s="51" t="n">
        <v>365.72</v>
      </c>
      <c r="K95" s="52">
        <f>IF(AND(B95="SELL",E95&gt;0,J95&lt;&gt;""),J95/E95,0)</f>
        <v/>
      </c>
      <c r="L95" s="52" t="n">
        <v>0.358</v>
      </c>
      <c r="M95" s="50">
        <f>IF(AND(B95="SELL",L95&gt;0),D95*L95,0)</f>
        <v/>
      </c>
      <c r="N95" s="46" t="n"/>
      <c r="O95" s="53">
        <f>IF(AND(B95="SELL",G95&lt;&gt;0),Q95/ABS(G95),0)</f>
        <v/>
      </c>
      <c r="P95" s="53">
        <f>IF(AND(B95="SELL",D95&gt;0),R95/D95,0)</f>
        <v/>
      </c>
      <c r="Q95" s="54">
        <f>IF(AND(B95="SELL",D95&gt;0,E95&gt;0),(D95/E95)+G95,0)</f>
        <v/>
      </c>
      <c r="R95" s="55">
        <f>IF(B95="SELL",Q95*F95,0)</f>
        <v/>
      </c>
      <c r="S95" s="35">
        <f>S94+R95</f>
        <v/>
      </c>
    </row>
    <row r="96" ht="15.75" customHeight="1" s="94">
      <c r="A96" s="36" t="n">
        <v>95</v>
      </c>
      <c r="B96" s="37" t="inlineStr">
        <is>
          <t>SELL</t>
        </is>
      </c>
      <c r="C96" s="38" t="n">
        <v>45986</v>
      </c>
      <c r="D96" s="39" t="n">
        <v>45000</v>
      </c>
      <c r="E96" s="40" t="n">
        <v>934.48</v>
      </c>
      <c r="F96" s="40" t="n">
        <v>934.48</v>
      </c>
      <c r="G96" s="41" t="n">
        <v>-44.18</v>
      </c>
      <c r="H96" s="41" t="n"/>
      <c r="I96" s="19" t="n">
        <v>313.520000000001</v>
      </c>
      <c r="J96" s="41" t="n">
        <v>364.6</v>
      </c>
      <c r="K96" s="42">
        <f>IF(AND(B96="SELL",E96&gt;0,J96&lt;&gt;""),J96/E96,0)</f>
        <v/>
      </c>
      <c r="L96" s="42" t="n">
        <v>0.358</v>
      </c>
      <c r="M96" s="40">
        <f>IF(AND(B96="SELL",L96&gt;0),D96*L96,0)</f>
        <v/>
      </c>
      <c r="N96" s="36" t="n"/>
      <c r="O96" s="43">
        <f>IF(AND(B96="SELL",G96&lt;&gt;0),Q96/ABS(G96),0)</f>
        <v/>
      </c>
      <c r="P96" s="43">
        <f>IF(AND(B96="SELL",D96&gt;0),R96/D96,0)</f>
        <v/>
      </c>
      <c r="Q96" s="44">
        <f>IF(AND(B96="SELL",D96&gt;0,E96&gt;0),(D96/E96)+G96,0)</f>
        <v/>
      </c>
      <c r="R96" s="45">
        <f>IF(B96="SELL",Q96*F96,0)</f>
        <v/>
      </c>
      <c r="S96" s="24">
        <f>S95+R96</f>
        <v/>
      </c>
    </row>
    <row r="97" ht="15.75" customHeight="1" s="94">
      <c r="A97" s="46" t="n">
        <v>96</v>
      </c>
      <c r="B97" s="47" t="inlineStr">
        <is>
          <t>SELL</t>
        </is>
      </c>
      <c r="C97" s="48" t="n">
        <v>45987</v>
      </c>
      <c r="D97" s="49" t="n">
        <v>50000</v>
      </c>
      <c r="E97" s="50" t="n">
        <v>934.48</v>
      </c>
      <c r="F97" s="50" t="n">
        <v>934.48</v>
      </c>
      <c r="G97" s="51" t="n">
        <v>-49.73</v>
      </c>
      <c r="H97" s="51" t="n"/>
      <c r="I97" s="30" t="n">
        <v>263.790000000001</v>
      </c>
      <c r="J97" s="51" t="n">
        <v>382.015</v>
      </c>
      <c r="K97" s="52">
        <f>IF(AND(B97="SELL",E97&gt;0,J97&lt;&gt;""),J97/E97,0)</f>
        <v/>
      </c>
      <c r="L97" s="52" t="n">
        <v>0.38</v>
      </c>
      <c r="M97" s="50">
        <f>IF(AND(B97="SELL",L97&gt;0),D97*L97,0)</f>
        <v/>
      </c>
      <c r="N97" s="46" t="n"/>
      <c r="O97" s="53">
        <f>IF(AND(B97="SELL",G97&lt;&gt;0),Q97/ABS(G97),0)</f>
        <v/>
      </c>
      <c r="P97" s="53">
        <f>IF(AND(B97="SELL",D97&gt;0),R97/D97,0)</f>
        <v/>
      </c>
      <c r="Q97" s="54">
        <f>IF(AND(B97="SELL",D97&gt;0,E97&gt;0),(D97/E97)+G97,0)</f>
        <v/>
      </c>
      <c r="R97" s="55">
        <f>IF(B97="SELL",Q97*F97,0)</f>
        <v/>
      </c>
      <c r="S97" s="35">
        <f>S96+R97</f>
        <v/>
      </c>
    </row>
    <row r="98" ht="15.75" customHeight="1" s="94">
      <c r="A98" s="36" t="n">
        <v>97</v>
      </c>
      <c r="B98" s="37" t="inlineStr">
        <is>
          <t>SELL</t>
        </is>
      </c>
      <c r="C98" s="38" t="n">
        <v>45987</v>
      </c>
      <c r="D98" s="39" t="n">
        <v>10000</v>
      </c>
      <c r="E98" s="40" t="n">
        <v>934.48</v>
      </c>
      <c r="F98" s="40" t="n">
        <v>934.48</v>
      </c>
      <c r="G98" s="41" t="n">
        <v>-10.27</v>
      </c>
      <c r="H98" s="41" t="n"/>
      <c r="I98" s="19" t="n">
        <v>253.520000000001</v>
      </c>
      <c r="J98" s="41" t="n">
        <v>369.71</v>
      </c>
      <c r="K98" s="42">
        <f>IF(AND(B98="SELL",E98&gt;0,J98&lt;&gt;""),J98/E98,0)</f>
        <v/>
      </c>
      <c r="L98" s="42" t="n">
        <v>0.38</v>
      </c>
      <c r="M98" s="40">
        <f>IF(AND(B98="SELL",L98&gt;0),D98*L98,0)</f>
        <v/>
      </c>
      <c r="N98" s="36" t="n"/>
      <c r="O98" s="43">
        <f>IF(AND(B98="SELL",G98&lt;&gt;0),Q98/ABS(G98),0)</f>
        <v/>
      </c>
      <c r="P98" s="43">
        <f>IF(AND(B98="SELL",D98&gt;0),R98/D98,0)</f>
        <v/>
      </c>
      <c r="Q98" s="44">
        <f>IF(AND(B98="SELL",D98&gt;0,E98&gt;0),(D98/E98)+G98,0)</f>
        <v/>
      </c>
      <c r="R98" s="45">
        <f>IF(B98="SELL",Q98*F98,0)</f>
        <v/>
      </c>
      <c r="S98" s="24">
        <f>S97+R98</f>
        <v/>
      </c>
    </row>
    <row r="99" ht="15.75" customHeight="1" s="94">
      <c r="A99" s="46" t="n">
        <v>98</v>
      </c>
      <c r="B99" s="47" t="inlineStr">
        <is>
          <t>SELL</t>
        </is>
      </c>
      <c r="C99" s="48" t="n">
        <v>45987</v>
      </c>
      <c r="D99" s="49" t="n">
        <v>80000</v>
      </c>
      <c r="E99" s="50" t="n">
        <v>934.48</v>
      </c>
      <c r="F99" s="50" t="n">
        <v>934.48</v>
      </c>
      <c r="G99" s="51" t="n">
        <v>-81.22</v>
      </c>
      <c r="H99" s="51" t="n"/>
      <c r="I99" s="30" t="n">
        <v>172.300000000001</v>
      </c>
      <c r="J99" s="51" t="n">
        <v>374.28</v>
      </c>
      <c r="K99" s="52">
        <f>IF(AND(B99="SELL",E99&gt;0,J99&lt;&gt;""),J99/E99,0)</f>
        <v/>
      </c>
      <c r="L99" s="52" t="n">
        <v>0.38</v>
      </c>
      <c r="M99" s="50">
        <f>IF(AND(B99="SELL",L99&gt;0),D99*L99,0)</f>
        <v/>
      </c>
      <c r="N99" s="46" t="n"/>
      <c r="O99" s="53">
        <f>IF(AND(B99="SELL",G99&lt;&gt;0),Q99/ABS(G99),0)</f>
        <v/>
      </c>
      <c r="P99" s="53">
        <f>IF(AND(B99="SELL",D99&gt;0),R99/D99,0)</f>
        <v/>
      </c>
      <c r="Q99" s="54">
        <f>IF(AND(B99="SELL",D99&gt;0,E99&gt;0),(D99/E99)+G99,0)</f>
        <v/>
      </c>
      <c r="R99" s="55">
        <f>IF(B99="SELL",Q99*F99,0)</f>
        <v/>
      </c>
      <c r="S99" s="35">
        <f>S98+R99</f>
        <v/>
      </c>
    </row>
    <row r="100" ht="15.75" customHeight="1" s="94">
      <c r="A100" s="36" t="n">
        <v>99</v>
      </c>
      <c r="B100" s="37" t="inlineStr">
        <is>
          <t>SELL</t>
        </is>
      </c>
      <c r="C100" s="38" t="n">
        <v>45987</v>
      </c>
      <c r="D100" s="39" t="n">
        <v>146000</v>
      </c>
      <c r="E100" s="40" t="n">
        <v>934.48</v>
      </c>
      <c r="F100" s="40" t="n">
        <v>934.48</v>
      </c>
      <c r="G100" s="41" t="n">
        <v>-145.44</v>
      </c>
      <c r="H100" s="41" t="n"/>
      <c r="I100" s="19" t="n">
        <v>26.8600000000006</v>
      </c>
      <c r="J100" s="41" t="n">
        <v>3.362</v>
      </c>
      <c r="K100" s="42">
        <f>IF(AND(B100="SELL",E100&gt;0,J100&lt;&gt;""),J100/E100,0)</f>
        <v/>
      </c>
      <c r="L100" s="42" t="n">
        <v>0.00335</v>
      </c>
      <c r="M100" s="40">
        <f>IF(AND(B100="SELL",L100&gt;0),D100*L100,0)</f>
        <v/>
      </c>
      <c r="N100" s="36" t="n"/>
      <c r="O100" s="43">
        <f>IF(AND(B100="SELL",G100&lt;&gt;0),Q100/ABS(G100),0)</f>
        <v/>
      </c>
      <c r="P100" s="43">
        <f>IF(AND(B100="SELL",D100&gt;0),R100/D100,0)</f>
        <v/>
      </c>
      <c r="Q100" s="44">
        <f>IF(AND(B100="SELL",D100&gt;0,E100&gt;0),(D100/E100)+G100,0)</f>
        <v/>
      </c>
      <c r="R100" s="45">
        <f>IF(B100="SELL",Q100*F100,0)</f>
        <v/>
      </c>
      <c r="S100" s="24">
        <f>S99+R100</f>
        <v/>
      </c>
    </row>
    <row r="101" ht="15.75" customHeight="1" s="94">
      <c r="A101" s="46" t="n">
        <v>100</v>
      </c>
      <c r="B101" s="47" t="inlineStr">
        <is>
          <t>SELL</t>
        </is>
      </c>
      <c r="C101" s="48" t="n">
        <v>45988</v>
      </c>
      <c r="D101" s="49" t="n">
        <v>570000</v>
      </c>
      <c r="E101" s="50" t="n">
        <v>934.48</v>
      </c>
      <c r="F101" s="50" t="n">
        <v>934.48</v>
      </c>
      <c r="G101" s="51" t="n">
        <v>-546.4</v>
      </c>
      <c r="H101" s="51" t="n"/>
      <c r="I101" s="30" t="n">
        <v>-519.5399999999991</v>
      </c>
      <c r="J101" s="51" t="n">
        <v>18.36</v>
      </c>
      <c r="K101" s="52">
        <f>IF(AND(B101="SELL",E101&gt;0,J101&lt;&gt;""),J101/E101,0)</f>
        <v/>
      </c>
      <c r="L101" s="52" t="n">
        <v>0.0176</v>
      </c>
      <c r="M101" s="50">
        <f>IF(AND(B101="SELL",L101&gt;0),D101*L101,0)</f>
        <v/>
      </c>
      <c r="N101" s="46" t="n"/>
      <c r="O101" s="53">
        <f>IF(AND(B101="SELL",G101&lt;&gt;0),Q101/ABS(G101),0)</f>
        <v/>
      </c>
      <c r="P101" s="53">
        <f>IF(AND(B101="SELL",D101&gt;0),R101/D101,0)</f>
        <v/>
      </c>
      <c r="Q101" s="54">
        <f>IF(AND(B101="SELL",D101&gt;0,E101&gt;0),(D101/E101)+G101,0)</f>
        <v/>
      </c>
      <c r="R101" s="55">
        <f>IF(B101="SELL",Q101*F101,0)</f>
        <v/>
      </c>
      <c r="S101" s="35">
        <f>S100+R101</f>
        <v/>
      </c>
    </row>
    <row r="102" ht="15.75" customHeight="1" s="94">
      <c r="A102" s="36" t="n">
        <v>101</v>
      </c>
      <c r="B102" s="37" t="inlineStr">
        <is>
          <t>SELL</t>
        </is>
      </c>
      <c r="C102" s="38" t="n">
        <v>45988</v>
      </c>
      <c r="D102" s="39" t="n">
        <v>80000</v>
      </c>
      <c r="E102" s="40" t="n">
        <v>934.48</v>
      </c>
      <c r="F102" s="40" t="n">
        <v>934.48</v>
      </c>
      <c r="G102" s="41" t="n">
        <v>-84.11</v>
      </c>
      <c r="H102" s="41" t="n"/>
      <c r="I102" s="19" t="n">
        <v>-603.649999999999</v>
      </c>
      <c r="J102" s="41" t="n">
        <v>372.805</v>
      </c>
      <c r="K102" s="42">
        <f>IF(AND(B102="SELL",E102&gt;0,J102&lt;&gt;""),J102/E102,0)</f>
        <v/>
      </c>
      <c r="L102" s="42" t="n">
        <v>0.392</v>
      </c>
      <c r="M102" s="40">
        <f>IF(AND(B102="SELL",L102&gt;0),D102*L102,0)</f>
        <v/>
      </c>
      <c r="N102" s="36" t="n"/>
      <c r="O102" s="43">
        <f>IF(AND(B102="SELL",G102&lt;&gt;0),Q102/ABS(G102),0)</f>
        <v/>
      </c>
      <c r="P102" s="43">
        <f>IF(AND(B102="SELL",D102&gt;0),R102/D102,0)</f>
        <v/>
      </c>
      <c r="Q102" s="44">
        <f>IF(AND(B102="SELL",D102&gt;0,E102&gt;0),(D102/E102)+G102,0)</f>
        <v/>
      </c>
      <c r="R102" s="45">
        <f>IF(B102="SELL",Q102*F102,0)</f>
        <v/>
      </c>
      <c r="S102" s="24">
        <f>S101+R102</f>
        <v/>
      </c>
    </row>
    <row r="103" ht="15.75" customHeight="1" s="94">
      <c r="A103" s="46" t="n">
        <v>102</v>
      </c>
      <c r="B103" s="47" t="inlineStr">
        <is>
          <t>SELL</t>
        </is>
      </c>
      <c r="C103" s="48" t="n">
        <v>45988</v>
      </c>
      <c r="D103" s="49" t="n">
        <v>10000</v>
      </c>
      <c r="E103" s="50" t="n">
        <v>934.48</v>
      </c>
      <c r="F103" s="50" t="n">
        <v>934.48</v>
      </c>
      <c r="G103" s="51" t="n">
        <v>-10.52</v>
      </c>
      <c r="H103" s="51" t="n"/>
      <c r="I103" s="30" t="n">
        <v>-614.169999999999</v>
      </c>
      <c r="J103" s="51" t="n">
        <v>372.5</v>
      </c>
      <c r="K103" s="52">
        <f>IF(AND(B103="SELL",E103&gt;0,J103&lt;&gt;""),J103/E103,0)</f>
        <v/>
      </c>
      <c r="L103" s="52" t="n">
        <v>0.392</v>
      </c>
      <c r="M103" s="50">
        <f>IF(AND(B103="SELL",L103&gt;0),D103*L103,0)</f>
        <v/>
      </c>
      <c r="N103" s="46" t="n"/>
      <c r="O103" s="53">
        <f>IF(AND(B103="SELL",G103&lt;&gt;0),Q103/ABS(G103),0)</f>
        <v/>
      </c>
      <c r="P103" s="53">
        <f>IF(AND(B103="SELL",D103&gt;0),R103/D103,0)</f>
        <v/>
      </c>
      <c r="Q103" s="54">
        <f>IF(AND(B103="SELL",D103&gt;0,E103&gt;0),(D103/E103)+G103,0)</f>
        <v/>
      </c>
      <c r="R103" s="55">
        <f>IF(B103="SELL",Q103*F103,0)</f>
        <v/>
      </c>
      <c r="S103" s="35">
        <f>S102+R103</f>
        <v/>
      </c>
    </row>
    <row r="104" ht="15.75" customHeight="1" s="94">
      <c r="A104" s="36" t="n">
        <v>103</v>
      </c>
      <c r="B104" s="37" t="inlineStr">
        <is>
          <t>SELL</t>
        </is>
      </c>
      <c r="C104" s="38" t="n">
        <v>45988</v>
      </c>
      <c r="D104" s="39" t="n">
        <v>100000</v>
      </c>
      <c r="E104" s="40" t="n">
        <v>934.48</v>
      </c>
      <c r="F104" s="40" t="n">
        <v>934.48</v>
      </c>
      <c r="G104" s="41" t="n">
        <v>-105.89</v>
      </c>
      <c r="H104" s="41" t="n"/>
      <c r="I104" s="19" t="n">
        <v>-720.059999999999</v>
      </c>
      <c r="J104" s="41" t="n">
        <v>370.18</v>
      </c>
      <c r="K104" s="42">
        <f>IF(AND(B104="SELL",E104&gt;0,J104&lt;&gt;""),J104/E104,0)</f>
        <v/>
      </c>
      <c r="L104" s="42" t="n">
        <v>0.392</v>
      </c>
      <c r="M104" s="40">
        <f>IF(AND(B104="SELL",L104&gt;0),D104*L104,0)</f>
        <v/>
      </c>
      <c r="N104" s="36" t="n"/>
      <c r="O104" s="43">
        <f>IF(AND(B104="SELL",G104&lt;&gt;0),Q104/ABS(G104),0)</f>
        <v/>
      </c>
      <c r="P104" s="43">
        <f>IF(AND(B104="SELL",D104&gt;0),R104/D104,0)</f>
        <v/>
      </c>
      <c r="Q104" s="44">
        <f>IF(AND(B104="SELL",D104&gt;0,E104&gt;0),(D104/E104)+G104,0)</f>
        <v/>
      </c>
      <c r="R104" s="45">
        <f>IF(B104="SELL",Q104*F104,0)</f>
        <v/>
      </c>
      <c r="S104" s="24">
        <f>S103+R104</f>
        <v/>
      </c>
    </row>
    <row r="105" ht="15.75" customHeight="1" s="94">
      <c r="A105" s="46" t="n">
        <v>104</v>
      </c>
      <c r="B105" s="47" t="inlineStr">
        <is>
          <t>SELL</t>
        </is>
      </c>
      <c r="C105" s="48" t="n">
        <v>45988</v>
      </c>
      <c r="D105" s="49" t="n">
        <v>20000</v>
      </c>
      <c r="E105" s="50" t="n">
        <v>934.48</v>
      </c>
      <c r="F105" s="50" t="n">
        <v>934.48</v>
      </c>
      <c r="G105" s="51" t="n">
        <v>-20.45</v>
      </c>
      <c r="H105" s="51" t="n"/>
      <c r="I105" s="30" t="n">
        <v>-740.509999999999</v>
      </c>
      <c r="J105" s="51" t="n">
        <v>365.601</v>
      </c>
      <c r="K105" s="52">
        <f>IF(AND(B105="SELL",E105&gt;0,J105&lt;&gt;""),J105/E105,0)</f>
        <v/>
      </c>
      <c r="L105" s="52" t="n">
        <v>0.374</v>
      </c>
      <c r="M105" s="50">
        <f>IF(AND(B105="SELL",L105&gt;0),D105*L105,0)</f>
        <v/>
      </c>
      <c r="N105" s="46" t="n"/>
      <c r="O105" s="53">
        <f>IF(AND(B105="SELL",G105&lt;&gt;0),Q105/ABS(G105),0)</f>
        <v/>
      </c>
      <c r="P105" s="53">
        <f>IF(AND(B105="SELL",D105&gt;0),R105/D105,0)</f>
        <v/>
      </c>
      <c r="Q105" s="54">
        <f>IF(AND(B105="SELL",D105&gt;0,E105&gt;0),(D105/E105)+G105,0)</f>
        <v/>
      </c>
      <c r="R105" s="55">
        <f>IF(B105="SELL",Q105*F105,0)</f>
        <v/>
      </c>
      <c r="S105" s="35">
        <f>S104+R105</f>
        <v/>
      </c>
    </row>
    <row r="106" ht="15.75" customHeight="1" s="94">
      <c r="A106" s="14" t="n">
        <v>105</v>
      </c>
      <c r="B106" s="15" t="inlineStr">
        <is>
          <t>BUY</t>
        </is>
      </c>
      <c r="C106" s="16" t="n">
        <v>45988</v>
      </c>
      <c r="D106" s="17" t="n">
        <v>1535800</v>
      </c>
      <c r="E106" s="18" t="n">
        <v>931.84</v>
      </c>
      <c r="F106" s="18" t="n">
        <v>931.84</v>
      </c>
      <c r="G106" s="19" t="n">
        <v>1648.08</v>
      </c>
      <c r="H106" s="19" t="n"/>
      <c r="I106" s="19" t="n">
        <v>907.570000000001</v>
      </c>
      <c r="J106" s="19" t="n"/>
      <c r="K106" s="20">
        <f>IF(AND(B106="SELL",E106&gt;0,J106&lt;&gt;""),J106/E106,0)</f>
        <v/>
      </c>
      <c r="L106" s="20" t="n">
        <v>0</v>
      </c>
      <c r="M106" s="18">
        <f>IF(AND(B106="SELL",L106&gt;0),D106*L106,0)</f>
        <v/>
      </c>
      <c r="N106" s="14" t="n"/>
      <c r="O106" s="21">
        <f>IF(AND(B106="SELL",G106&lt;&gt;0),Q106/ABS(G106),0)</f>
        <v/>
      </c>
      <c r="P106" s="21">
        <f>IF(AND(B106="SELL",D106&gt;0),R106/D106,0)</f>
        <v/>
      </c>
      <c r="Q106" s="22">
        <f>IF(AND(B106="SELL",D106&gt;0,E106&gt;0),(D106/E106)+G106,0)</f>
        <v/>
      </c>
      <c r="R106" s="23">
        <f>IF(B106="SELL",Q106*F106,0)</f>
        <v/>
      </c>
      <c r="S106" s="24">
        <f>S105+R106</f>
        <v/>
      </c>
    </row>
    <row r="107" ht="15.75" customHeight="1" s="94">
      <c r="A107" s="46" t="n">
        <v>106</v>
      </c>
      <c r="B107" s="47" t="inlineStr">
        <is>
          <t>SELL</t>
        </is>
      </c>
      <c r="C107" s="48" t="n">
        <v>45989</v>
      </c>
      <c r="D107" s="49" t="n">
        <v>15000</v>
      </c>
      <c r="E107" s="50" t="n">
        <v>931.84</v>
      </c>
      <c r="F107" s="50" t="n">
        <v>931.84</v>
      </c>
      <c r="G107" s="51" t="n">
        <v>-15.33</v>
      </c>
      <c r="H107" s="51" t="n"/>
      <c r="I107" s="30" t="n">
        <v>892.240000000001</v>
      </c>
      <c r="J107" s="51" t="n">
        <v>363.01</v>
      </c>
      <c r="K107" s="52">
        <f>IF(AND(B107="SELL",E107&gt;0,J107&lt;&gt;""),J107/E107,0)</f>
        <v/>
      </c>
      <c r="L107" s="52" t="n">
        <v>0.371</v>
      </c>
      <c r="M107" s="50">
        <f>IF(AND(B107="SELL",L107&gt;0),D107*L107,0)</f>
        <v/>
      </c>
      <c r="N107" s="46" t="n"/>
      <c r="O107" s="53">
        <f>IF(AND(B107="SELL",G107&lt;&gt;0),Q107/ABS(G107),0)</f>
        <v/>
      </c>
      <c r="P107" s="53">
        <f>IF(AND(B107="SELL",D107&gt;0),R107/D107,0)</f>
        <v/>
      </c>
      <c r="Q107" s="54">
        <f>IF(AND(B107="SELL",D107&gt;0,E107&gt;0),(D107/E107)+G107,0)</f>
        <v/>
      </c>
      <c r="R107" s="55">
        <f>IF(B107="SELL",Q107*F107,0)</f>
        <v/>
      </c>
      <c r="S107" s="35">
        <f>S106+R107</f>
        <v/>
      </c>
    </row>
    <row r="108" ht="15.75" customHeight="1" s="94">
      <c r="A108" s="36" t="n">
        <v>107</v>
      </c>
      <c r="B108" s="37" t="inlineStr">
        <is>
          <t>SELL</t>
        </is>
      </c>
      <c r="C108" s="38" t="n">
        <v>45989</v>
      </c>
      <c r="D108" s="39" t="n">
        <v>20000</v>
      </c>
      <c r="E108" s="40" t="n">
        <v>931.84</v>
      </c>
      <c r="F108" s="40" t="n">
        <v>931.84</v>
      </c>
      <c r="G108" s="41" t="n">
        <v>-20.5</v>
      </c>
      <c r="H108" s="41" t="n"/>
      <c r="I108" s="19" t="n">
        <v>871.740000000001</v>
      </c>
      <c r="J108" s="41" t="n">
        <v>366.8</v>
      </c>
      <c r="K108" s="42">
        <f>IF(AND(B108="SELL",E108&gt;0,J108&lt;&gt;""),J108/E108,0)</f>
        <v/>
      </c>
      <c r="L108" s="42" t="n">
        <v>0.371</v>
      </c>
      <c r="M108" s="40">
        <f>IF(AND(B108="SELL",L108&gt;0),D108*L108,0)</f>
        <v/>
      </c>
      <c r="N108" s="36" t="n"/>
      <c r="O108" s="43">
        <f>IF(AND(B108="SELL",G108&lt;&gt;0),Q108/ABS(G108),0)</f>
        <v/>
      </c>
      <c r="P108" s="43">
        <f>IF(AND(B108="SELL",D108&gt;0),R108/D108,0)</f>
        <v/>
      </c>
      <c r="Q108" s="44">
        <f>IF(AND(B108="SELL",D108&gt;0,E108&gt;0),(D108/E108)+G108,0)</f>
        <v/>
      </c>
      <c r="R108" s="45">
        <f>IF(B108="SELL",Q108*F108,0)</f>
        <v/>
      </c>
      <c r="S108" s="24">
        <f>S107+R108</f>
        <v/>
      </c>
    </row>
    <row r="109" ht="15.75" customHeight="1" s="94">
      <c r="A109" s="46" t="n">
        <v>108</v>
      </c>
      <c r="B109" s="47" t="inlineStr">
        <is>
          <t>SELL</t>
        </is>
      </c>
      <c r="C109" s="48" t="n">
        <v>45989</v>
      </c>
      <c r="D109" s="49" t="n">
        <v>50000</v>
      </c>
      <c r="E109" s="50" t="n">
        <v>931.84</v>
      </c>
      <c r="F109" s="50" t="n">
        <v>931.84</v>
      </c>
      <c r="G109" s="51" t="n">
        <v>-49.7</v>
      </c>
      <c r="H109" s="51" t="n"/>
      <c r="I109" s="30" t="n">
        <v>822.040000000001</v>
      </c>
      <c r="J109" s="51" t="n">
        <v>3.37</v>
      </c>
      <c r="K109" s="52">
        <f>IF(AND(B109="SELL",E109&gt;0,J109&lt;&gt;""),J109/E109,0)</f>
        <v/>
      </c>
      <c r="L109" s="52" t="n">
        <v>0.00335</v>
      </c>
      <c r="M109" s="50">
        <f>IF(AND(B109="SELL",L109&gt;0),D109*L109,0)</f>
        <v/>
      </c>
      <c r="N109" s="46" t="n"/>
      <c r="O109" s="53">
        <f>IF(AND(B109="SELL",G109&lt;&gt;0),Q109/ABS(G109),0)</f>
        <v/>
      </c>
      <c r="P109" s="53">
        <f>IF(AND(B109="SELL",D109&gt;0),R109/D109,0)</f>
        <v/>
      </c>
      <c r="Q109" s="54">
        <f>IF(AND(B109="SELL",D109&gt;0,E109&gt;0),(D109/E109)+G109,0)</f>
        <v/>
      </c>
      <c r="R109" s="55">
        <f>IF(B109="SELL",Q109*F109,0)</f>
        <v/>
      </c>
      <c r="S109" s="35">
        <f>S108+R109</f>
        <v/>
      </c>
    </row>
    <row r="110" ht="15.75" customHeight="1" s="94">
      <c r="A110" s="36" t="n">
        <v>109</v>
      </c>
      <c r="B110" s="37" t="inlineStr">
        <is>
          <t>SELL</t>
        </is>
      </c>
      <c r="C110" s="38" t="n">
        <v>45989</v>
      </c>
      <c r="D110" s="39" t="n">
        <v>70000</v>
      </c>
      <c r="E110" s="40" t="n">
        <v>931.84</v>
      </c>
      <c r="F110" s="40" t="n">
        <v>931.84</v>
      </c>
      <c r="G110" s="41" t="n">
        <v>-71.54000000000001</v>
      </c>
      <c r="H110" s="41" t="n"/>
      <c r="I110" s="19" t="n">
        <v>750.500000000001</v>
      </c>
      <c r="J110" s="41" t="n">
        <v>363.001</v>
      </c>
      <c r="K110" s="42">
        <f>IF(AND(B110="SELL",E110&gt;0,J110&lt;&gt;""),J110/E110,0)</f>
        <v/>
      </c>
      <c r="L110" s="42" t="n">
        <v>0.371</v>
      </c>
      <c r="M110" s="40">
        <f>IF(AND(B110="SELL",L110&gt;0),D110*L110,0)</f>
        <v/>
      </c>
      <c r="N110" s="36" t="n"/>
      <c r="O110" s="43">
        <f>IF(AND(B110="SELL",G110&lt;&gt;0),Q110/ABS(G110),0)</f>
        <v/>
      </c>
      <c r="P110" s="43">
        <f>IF(AND(B110="SELL",D110&gt;0),R110/D110,0)</f>
        <v/>
      </c>
      <c r="Q110" s="44">
        <f>IF(AND(B110="SELL",D110&gt;0,E110&gt;0),(D110/E110)+G110,0)</f>
        <v/>
      </c>
      <c r="R110" s="45">
        <f>IF(B110="SELL",Q110*F110,0)</f>
        <v/>
      </c>
      <c r="S110" s="24">
        <f>S109+R110</f>
        <v/>
      </c>
    </row>
    <row r="111" ht="15.75" customHeight="1" s="94">
      <c r="A111" s="46" t="n">
        <v>110</v>
      </c>
      <c r="B111" s="47" t="inlineStr">
        <is>
          <t>SELL</t>
        </is>
      </c>
      <c r="C111" s="48" t="n">
        <v>45989</v>
      </c>
      <c r="D111" s="49" t="n">
        <v>40000</v>
      </c>
      <c r="E111" s="50" t="n">
        <v>931.84</v>
      </c>
      <c r="F111" s="50" t="n">
        <v>931.84</v>
      </c>
      <c r="G111" s="51" t="n">
        <v>-41.02</v>
      </c>
      <c r="H111" s="51" t="n"/>
      <c r="I111" s="30" t="n">
        <v>709.480000000001</v>
      </c>
      <c r="J111" s="51" t="n">
        <v>361.725</v>
      </c>
      <c r="K111" s="52">
        <f>IF(AND(B111="SELL",E111&gt;0,J111&lt;&gt;""),J111/E111,0)</f>
        <v/>
      </c>
      <c r="L111" s="52" t="n">
        <v>0.371</v>
      </c>
      <c r="M111" s="50">
        <f>IF(AND(B111="SELL",L111&gt;0),D111*L111,0)</f>
        <v/>
      </c>
      <c r="N111" s="46" t="n"/>
      <c r="O111" s="53">
        <f>IF(AND(B111="SELL",G111&lt;&gt;0),Q111/ABS(G111),0)</f>
        <v/>
      </c>
      <c r="P111" s="53">
        <f>IF(AND(B111="SELL",D111&gt;0),R111/D111,0)</f>
        <v/>
      </c>
      <c r="Q111" s="54">
        <f>IF(AND(B111="SELL",D111&gt;0,E111&gt;0),(D111/E111)+G111,0)</f>
        <v/>
      </c>
      <c r="R111" s="55">
        <f>IF(B111="SELL",Q111*F111,0)</f>
        <v/>
      </c>
      <c r="S111" s="35">
        <f>S110+R111</f>
        <v/>
      </c>
    </row>
    <row r="112" ht="15.75" customHeight="1" s="94">
      <c r="A112" s="36" t="n">
        <v>111</v>
      </c>
      <c r="B112" s="37" t="inlineStr">
        <is>
          <t>SELL</t>
        </is>
      </c>
      <c r="C112" s="38" t="n">
        <v>45989</v>
      </c>
      <c r="D112" s="39" t="n">
        <v>30000</v>
      </c>
      <c r="E112" s="40" t="n">
        <v>931.84</v>
      </c>
      <c r="F112" s="40" t="n">
        <v>931.84</v>
      </c>
      <c r="G112" s="41" t="n">
        <v>-30.69</v>
      </c>
      <c r="H112" s="41" t="n"/>
      <c r="I112" s="19" t="n">
        <v>678.790000000001</v>
      </c>
      <c r="J112" s="41" t="n">
        <v>363.601</v>
      </c>
      <c r="K112" s="42">
        <f>IF(AND(B112="SELL",E112&gt;0,J112&lt;&gt;""),J112/E112,0)</f>
        <v/>
      </c>
      <c r="L112" s="42" t="n">
        <v>0.372</v>
      </c>
      <c r="M112" s="40">
        <f>IF(AND(B112="SELL",L112&gt;0),D112*L112,0)</f>
        <v/>
      </c>
      <c r="N112" s="36" t="n"/>
      <c r="O112" s="43">
        <f>IF(AND(B112="SELL",G112&lt;&gt;0),Q112/ABS(G112),0)</f>
        <v/>
      </c>
      <c r="P112" s="43">
        <f>IF(AND(B112="SELL",D112&gt;0),R112/D112,0)</f>
        <v/>
      </c>
      <c r="Q112" s="44">
        <f>IF(AND(B112="SELL",D112&gt;0,E112&gt;0),(D112/E112)+G112,0)</f>
        <v/>
      </c>
      <c r="R112" s="45">
        <f>IF(B112="SELL",Q112*F112,0)</f>
        <v/>
      </c>
      <c r="S112" s="24">
        <f>S111+R112</f>
        <v/>
      </c>
    </row>
    <row r="113" ht="15.75" customHeight="1" s="94">
      <c r="A113" s="46" t="n">
        <v>112</v>
      </c>
      <c r="B113" s="47" t="inlineStr">
        <is>
          <t>SELL</t>
        </is>
      </c>
      <c r="C113" s="48" t="n">
        <v>45989</v>
      </c>
      <c r="D113" s="49" t="n">
        <v>400000</v>
      </c>
      <c r="E113" s="50" t="n">
        <v>931.84</v>
      </c>
      <c r="F113" s="50" t="n">
        <v>931.84</v>
      </c>
      <c r="G113" s="51" t="n">
        <v>-407.18</v>
      </c>
      <c r="H113" s="51" t="n"/>
      <c r="I113" s="30" t="n">
        <v>271.610000000001</v>
      </c>
      <c r="J113" s="51" t="n">
        <v>365.351</v>
      </c>
      <c r="K113" s="52">
        <f>IF(AND(B113="SELL",E113&gt;0,J113&lt;&gt;""),J113/E113,0)</f>
        <v/>
      </c>
      <c r="L113" s="52" t="n">
        <v>0.372</v>
      </c>
      <c r="M113" s="50">
        <f>IF(AND(B113="SELL",L113&gt;0),D113*L113,0)</f>
        <v/>
      </c>
      <c r="N113" s="46" t="n"/>
      <c r="O113" s="53">
        <f>IF(AND(B113="SELL",G113&lt;&gt;0),Q113/ABS(G113),0)</f>
        <v/>
      </c>
      <c r="P113" s="53">
        <f>IF(AND(B113="SELL",D113&gt;0),R113/D113,0)</f>
        <v/>
      </c>
      <c r="Q113" s="54">
        <f>IF(AND(B113="SELL",D113&gt;0,E113&gt;0),(D113/E113)+G113,0)</f>
        <v/>
      </c>
      <c r="R113" s="55">
        <f>IF(B113="SELL",Q113*F113,0)</f>
        <v/>
      </c>
      <c r="S113" s="35">
        <f>S112+R113</f>
        <v/>
      </c>
    </row>
    <row r="114" ht="15.75" customHeight="1" s="94">
      <c r="A114" s="36" t="n">
        <v>113</v>
      </c>
      <c r="B114" s="37" t="inlineStr">
        <is>
          <t>SELL</t>
        </is>
      </c>
      <c r="C114" s="38" t="n">
        <v>45989</v>
      </c>
      <c r="D114" s="39" t="n">
        <v>13250</v>
      </c>
      <c r="E114" s="40" t="n">
        <v>931.84</v>
      </c>
      <c r="F114" s="40" t="n">
        <v>931.84</v>
      </c>
      <c r="G114" s="41" t="n">
        <v>-13.68</v>
      </c>
      <c r="H114" s="41" t="n"/>
      <c r="I114" s="19" t="n">
        <v>257.930000000001</v>
      </c>
      <c r="J114" s="41" t="n">
        <v>359.115</v>
      </c>
      <c r="K114" s="42">
        <f>IF(AND(B114="SELL",E114&gt;0,J114&lt;&gt;""),J114/E114,0)</f>
        <v/>
      </c>
      <c r="L114" s="42" t="n">
        <v>0.371</v>
      </c>
      <c r="M114" s="40">
        <f>IF(AND(B114="SELL",L114&gt;0),D114*L114,0)</f>
        <v/>
      </c>
      <c r="N114" s="36" t="n"/>
      <c r="O114" s="43">
        <f>IF(AND(B114="SELL",G114&lt;&gt;0),Q114/ABS(G114),0)</f>
        <v/>
      </c>
      <c r="P114" s="43">
        <f>IF(AND(B114="SELL",D114&gt;0),R114/D114,0)</f>
        <v/>
      </c>
      <c r="Q114" s="44">
        <f>IF(AND(B114="SELL",D114&gt;0,E114&gt;0),(D114/E114)+G114,0)</f>
        <v/>
      </c>
      <c r="R114" s="45">
        <f>IF(B114="SELL",Q114*F114,0)</f>
        <v/>
      </c>
      <c r="S114" s="24">
        <f>S113+R114</f>
        <v/>
      </c>
    </row>
    <row r="115" ht="15.75" customHeight="1" s="94">
      <c r="A115" s="46" t="n">
        <v>114</v>
      </c>
      <c r="B115" s="47" t="inlineStr">
        <is>
          <t>SELL</t>
        </is>
      </c>
      <c r="C115" s="48" t="n">
        <v>45989</v>
      </c>
      <c r="D115" s="49" t="n">
        <v>50000</v>
      </c>
      <c r="E115" s="50" t="n">
        <v>931.84</v>
      </c>
      <c r="F115" s="50" t="n">
        <v>931.84</v>
      </c>
      <c r="G115" s="51" t="n">
        <v>-50.82</v>
      </c>
      <c r="H115" s="51" t="n"/>
      <c r="I115" s="30" t="n">
        <v>207.110000000001</v>
      </c>
      <c r="J115" s="51" t="n">
        <v>365</v>
      </c>
      <c r="K115" s="52">
        <f>IF(AND(B115="SELL",E115&gt;0,J115&lt;&gt;""),J115/E115,0)</f>
        <v/>
      </c>
      <c r="L115" s="52" t="n">
        <v>0.371</v>
      </c>
      <c r="M115" s="50">
        <f>IF(AND(B115="SELL",L115&gt;0),D115*L115,0)</f>
        <v/>
      </c>
      <c r="N115" s="46" t="n"/>
      <c r="O115" s="53">
        <f>IF(AND(B115="SELL",G115&lt;&gt;0),Q115/ABS(G115),0)</f>
        <v/>
      </c>
      <c r="P115" s="53">
        <f>IF(AND(B115="SELL",D115&gt;0),R115/D115,0)</f>
        <v/>
      </c>
      <c r="Q115" s="54">
        <f>IF(AND(B115="SELL",D115&gt;0,E115&gt;0),(D115/E115)+G115,0)</f>
        <v/>
      </c>
      <c r="R115" s="55">
        <f>IF(B115="SELL",Q115*F115,0)</f>
        <v/>
      </c>
      <c r="S115" s="35">
        <f>S114+R115</f>
        <v/>
      </c>
    </row>
    <row r="116" ht="15.75" customHeight="1" s="94">
      <c r="A116" s="36" t="n">
        <v>115</v>
      </c>
      <c r="B116" s="37" t="inlineStr">
        <is>
          <t>SELL</t>
        </is>
      </c>
      <c r="C116" s="38" t="n">
        <v>45990</v>
      </c>
      <c r="D116" s="39" t="n">
        <v>18000</v>
      </c>
      <c r="E116" s="40" t="n">
        <v>934.11</v>
      </c>
      <c r="F116" s="40" t="n">
        <v>934.11</v>
      </c>
      <c r="G116" s="41" t="n">
        <v>-18.34</v>
      </c>
      <c r="H116" s="41" t="n"/>
      <c r="I116" s="19" t="n">
        <v>188.770000000001</v>
      </c>
      <c r="J116" s="41" t="n">
        <v>364.011</v>
      </c>
      <c r="K116" s="42">
        <f>IF(AND(B116="SELL",E116&gt;0,J116&lt;&gt;""),J116/E116,0)</f>
        <v/>
      </c>
      <c r="L116" s="42" t="n">
        <v>0.371</v>
      </c>
      <c r="M116" s="40">
        <f>IF(AND(B116="SELL",L116&gt;0),D116*L116,0)</f>
        <v/>
      </c>
      <c r="N116" s="36" t="n"/>
      <c r="O116" s="43">
        <f>IF(AND(B116="SELL",G116&lt;&gt;0),Q116/ABS(G116),0)</f>
        <v/>
      </c>
      <c r="P116" s="43">
        <f>IF(AND(B116="SELL",D116&gt;0),R116/D116,0)</f>
        <v/>
      </c>
      <c r="Q116" s="44">
        <f>IF(AND(B116="SELL",D116&gt;0,E116&gt;0),(D116/E116)+G116,0)</f>
        <v/>
      </c>
      <c r="R116" s="45">
        <f>IF(B116="SELL",Q116*F116,0)</f>
        <v/>
      </c>
      <c r="S116" s="24">
        <f>S115+R116</f>
        <v/>
      </c>
    </row>
    <row r="117" ht="15.75" customHeight="1" s="94">
      <c r="A117" s="46" t="n">
        <v>116</v>
      </c>
      <c r="B117" s="47" t="inlineStr">
        <is>
          <t>SELL</t>
        </is>
      </c>
      <c r="C117" s="48" t="n">
        <v>45990</v>
      </c>
      <c r="D117" s="49" t="n">
        <v>70000</v>
      </c>
      <c r="E117" s="50" t="n">
        <v>934.11</v>
      </c>
      <c r="F117" s="50" t="n">
        <v>934.11</v>
      </c>
      <c r="G117" s="51" t="n">
        <v>-71.34999999999999</v>
      </c>
      <c r="H117" s="51" t="n"/>
      <c r="I117" s="30" t="n">
        <v>117.420000000001</v>
      </c>
      <c r="J117" s="51" t="n">
        <v>363.968</v>
      </c>
      <c r="K117" s="52">
        <f>IF(AND(B117="SELL",E117&gt;0,J117&lt;&gt;""),J117/E117,0)</f>
        <v/>
      </c>
      <c r="L117" s="52" t="n">
        <v>0.371</v>
      </c>
      <c r="M117" s="50">
        <f>IF(AND(B117="SELL",L117&gt;0),D117*L117,0)</f>
        <v/>
      </c>
      <c r="N117" s="46" t="n"/>
      <c r="O117" s="53">
        <f>IF(AND(B117="SELL",G117&lt;&gt;0),Q117/ABS(G117),0)</f>
        <v/>
      </c>
      <c r="P117" s="53">
        <f>IF(AND(B117="SELL",D117&gt;0),R117/D117,0)</f>
        <v/>
      </c>
      <c r="Q117" s="54">
        <f>IF(AND(B117="SELL",D117&gt;0,E117&gt;0),(D117/E117)+G117,0)</f>
        <v/>
      </c>
      <c r="R117" s="55">
        <f>IF(B117="SELL",Q117*F117,0)</f>
        <v/>
      </c>
      <c r="S117" s="35">
        <f>S116+R117</f>
        <v/>
      </c>
    </row>
    <row r="118" ht="15.75" customHeight="1" s="94">
      <c r="A118" s="36" t="n">
        <v>117</v>
      </c>
      <c r="B118" s="37" t="inlineStr">
        <is>
          <t>SELL</t>
        </is>
      </c>
      <c r="C118" s="38" t="n">
        <v>45990</v>
      </c>
      <c r="D118" s="39" t="n">
        <v>100000</v>
      </c>
      <c r="E118" s="40" t="n">
        <v>934.11</v>
      </c>
      <c r="F118" s="40" t="n">
        <v>934.11</v>
      </c>
      <c r="G118" s="41" t="n">
        <v>-101.11</v>
      </c>
      <c r="H118" s="41" t="n"/>
      <c r="I118" s="19" t="n">
        <v>16.3100000000005</v>
      </c>
      <c r="J118" s="41" t="n">
        <v>366.91</v>
      </c>
      <c r="K118" s="42">
        <f>IF(AND(B118="SELL",E118&gt;0,J118&lt;&gt;""),J118/E118,0)</f>
        <v/>
      </c>
      <c r="L118" s="42" t="n">
        <v>0.371</v>
      </c>
      <c r="M118" s="40">
        <f>IF(AND(B118="SELL",L118&gt;0),D118*L118,0)</f>
        <v/>
      </c>
      <c r="N118" s="36" t="n"/>
      <c r="O118" s="43">
        <f>IF(AND(B118="SELL",G118&lt;&gt;0),Q118/ABS(G118),0)</f>
        <v/>
      </c>
      <c r="P118" s="43">
        <f>IF(AND(B118="SELL",D118&gt;0),R118/D118,0)</f>
        <v/>
      </c>
      <c r="Q118" s="44">
        <f>IF(AND(B118="SELL",D118&gt;0,E118&gt;0),(D118/E118)+G118,0)</f>
        <v/>
      </c>
      <c r="R118" s="45">
        <f>IF(B118="SELL",Q118*F118,0)</f>
        <v/>
      </c>
      <c r="S118" s="24">
        <f>S117+R118</f>
        <v/>
      </c>
    </row>
    <row r="119" ht="15.75" customHeight="1" s="94">
      <c r="A119" s="46" t="n">
        <v>118</v>
      </c>
      <c r="B119" s="47" t="inlineStr">
        <is>
          <t>SELL</t>
        </is>
      </c>
      <c r="C119" s="48" t="n">
        <v>45990</v>
      </c>
      <c r="D119" s="49" t="n">
        <v>20000</v>
      </c>
      <c r="E119" s="50" t="n">
        <v>934.11</v>
      </c>
      <c r="F119" s="50" t="n">
        <v>934.11</v>
      </c>
      <c r="G119" s="51" t="n">
        <v>-20.45</v>
      </c>
      <c r="H119" s="51" t="n"/>
      <c r="I119" s="30" t="n">
        <v>-4.13999999999947</v>
      </c>
      <c r="J119" s="51" t="n">
        <v>362.726</v>
      </c>
      <c r="K119" s="52">
        <f>IF(AND(B119="SELL",E119&gt;0,J119&lt;&gt;""),J119/E119,0)</f>
        <v/>
      </c>
      <c r="L119" s="52" t="n">
        <v>0.371</v>
      </c>
      <c r="M119" s="50">
        <f>IF(AND(B119="SELL",L119&gt;0),D119*L119,0)</f>
        <v/>
      </c>
      <c r="N119" s="46" t="n"/>
      <c r="O119" s="53">
        <f>IF(AND(B119="SELL",G119&lt;&gt;0),Q119/ABS(G119),0)</f>
        <v/>
      </c>
      <c r="P119" s="53">
        <f>IF(AND(B119="SELL",D119&gt;0),R119/D119,0)</f>
        <v/>
      </c>
      <c r="Q119" s="54">
        <f>IF(AND(B119="SELL",D119&gt;0,E119&gt;0),(D119/E119)+G119,0)</f>
        <v/>
      </c>
      <c r="R119" s="55">
        <f>IF(B119="SELL",Q119*F119,0)</f>
        <v/>
      </c>
      <c r="S119" s="35">
        <f>S118+R119</f>
        <v/>
      </c>
    </row>
    <row r="120" ht="15.75" customHeight="1" s="94">
      <c r="A120" s="36" t="n">
        <v>119</v>
      </c>
      <c r="B120" s="37" t="inlineStr">
        <is>
          <t>SELL</t>
        </is>
      </c>
      <c r="C120" s="38" t="n">
        <v>45990</v>
      </c>
      <c r="D120" s="39" t="n">
        <v>20000</v>
      </c>
      <c r="E120" s="40" t="n">
        <v>934.11</v>
      </c>
      <c r="F120" s="40" t="n">
        <v>934.11</v>
      </c>
      <c r="G120" s="41" t="n">
        <v>-20.44</v>
      </c>
      <c r="H120" s="41" t="n"/>
      <c r="I120" s="19" t="n">
        <v>-24.5799999999995</v>
      </c>
      <c r="J120" s="41" t="n">
        <v>362.9</v>
      </c>
      <c r="K120" s="42">
        <f>IF(AND(B120="SELL",E120&gt;0,J120&lt;&gt;""),J120/E120,0)</f>
        <v/>
      </c>
      <c r="L120" s="42" t="n">
        <v>0.371</v>
      </c>
      <c r="M120" s="40">
        <f>IF(AND(B120="SELL",L120&gt;0),D120*L120,0)</f>
        <v/>
      </c>
      <c r="N120" s="36" t="n"/>
      <c r="O120" s="43">
        <f>IF(AND(B120="SELL",G120&lt;&gt;0),Q120/ABS(G120),0)</f>
        <v/>
      </c>
      <c r="P120" s="43">
        <f>IF(AND(B120="SELL",D120&gt;0),R120/D120,0)</f>
        <v/>
      </c>
      <c r="Q120" s="44">
        <f>IF(AND(B120="SELL",D120&gt;0,E120&gt;0),(D120/E120)+G120,0)</f>
        <v/>
      </c>
      <c r="R120" s="45">
        <f>IF(B120="SELL",Q120*F120,0)</f>
        <v/>
      </c>
      <c r="S120" s="24">
        <f>S119+R120</f>
        <v/>
      </c>
    </row>
    <row r="121" ht="15.75" customHeight="1" s="94">
      <c r="A121" s="46" t="n">
        <v>120</v>
      </c>
      <c r="B121" s="47" t="inlineStr">
        <is>
          <t>SELL</t>
        </is>
      </c>
      <c r="C121" s="48" t="n">
        <v>45990</v>
      </c>
      <c r="D121" s="49" t="n">
        <v>18000</v>
      </c>
      <c r="E121" s="50" t="n">
        <v>934.11</v>
      </c>
      <c r="F121" s="50" t="n">
        <v>934.11</v>
      </c>
      <c r="G121" s="51" t="n">
        <v>-18.35</v>
      </c>
      <c r="H121" s="51" t="n"/>
      <c r="I121" s="30" t="n">
        <v>-42.9299999999995</v>
      </c>
      <c r="J121" s="51" t="n">
        <v>363.8</v>
      </c>
      <c r="K121" s="52">
        <f>IF(AND(B121="SELL",E121&gt;0,J121&lt;&gt;""),J121/E121,0)</f>
        <v/>
      </c>
      <c r="L121" s="52" t="n">
        <v>0.371</v>
      </c>
      <c r="M121" s="50">
        <f>IF(AND(B121="SELL",L121&gt;0),D121*L121,0)</f>
        <v/>
      </c>
      <c r="N121" s="46" t="n"/>
      <c r="O121" s="53">
        <f>IF(AND(B121="SELL",G121&lt;&gt;0),Q121/ABS(G121),0)</f>
        <v/>
      </c>
      <c r="P121" s="53">
        <f>IF(AND(B121="SELL",D121&gt;0),R121/D121,0)</f>
        <v/>
      </c>
      <c r="Q121" s="54">
        <f>IF(AND(B121="SELL",D121&gt;0,E121&gt;0),(D121/E121)+G121,0)</f>
        <v/>
      </c>
      <c r="R121" s="55">
        <f>IF(B121="SELL",Q121*F121,0)</f>
        <v/>
      </c>
      <c r="S121" s="35">
        <f>S120+R121</f>
        <v/>
      </c>
    </row>
    <row r="122" ht="15.75" customHeight="1" s="94">
      <c r="A122" s="36" t="n">
        <v>121</v>
      </c>
      <c r="B122" s="37" t="inlineStr">
        <is>
          <t>SELL</t>
        </is>
      </c>
      <c r="C122" s="38" t="n">
        <v>45990</v>
      </c>
      <c r="D122" s="39" t="n">
        <v>150000</v>
      </c>
      <c r="E122" s="40" t="n">
        <v>934.11</v>
      </c>
      <c r="F122" s="40" t="n">
        <v>934.11</v>
      </c>
      <c r="G122" s="41" t="n">
        <v>-151.32</v>
      </c>
      <c r="H122" s="41" t="n"/>
      <c r="I122" s="19" t="n">
        <v>-194.25</v>
      </c>
      <c r="J122" s="41" t="n">
        <v>367.751</v>
      </c>
      <c r="K122" s="42">
        <f>IF(AND(B122="SELL",E122&gt;0,J122&lt;&gt;""),J122/E122,0)</f>
        <v/>
      </c>
      <c r="L122" s="42" t="n">
        <v>0.371</v>
      </c>
      <c r="M122" s="40">
        <f>IF(AND(B122="SELL",L122&gt;0),D122*L122,0)</f>
        <v/>
      </c>
      <c r="N122" s="36" t="n"/>
      <c r="O122" s="43">
        <f>IF(AND(B122="SELL",G122&lt;&gt;0),Q122/ABS(G122),0)</f>
        <v/>
      </c>
      <c r="P122" s="43">
        <f>IF(AND(B122="SELL",D122&gt;0),R122/D122,0)</f>
        <v/>
      </c>
      <c r="Q122" s="44">
        <f>IF(AND(B122="SELL",D122&gt;0,E122&gt;0),(D122/E122)+G122,0)</f>
        <v/>
      </c>
      <c r="R122" s="45">
        <f>IF(B122="SELL",Q122*F122,0)</f>
        <v/>
      </c>
      <c r="S122" s="24">
        <f>S121+R122</f>
        <v/>
      </c>
    </row>
    <row r="123" ht="15.75" customHeight="1" s="94">
      <c r="A123" s="25" t="n">
        <v>122</v>
      </c>
      <c r="B123" s="26" t="inlineStr">
        <is>
          <t>BUY</t>
        </is>
      </c>
      <c r="C123" s="27" t="n">
        <v>45990</v>
      </c>
      <c r="D123" s="28" t="n">
        <v>1500000</v>
      </c>
      <c r="E123" s="29" t="n">
        <v>934.11</v>
      </c>
      <c r="F123" s="29" t="n">
        <v>934.11</v>
      </c>
      <c r="G123" s="30" t="n">
        <v>1605.8</v>
      </c>
      <c r="H123" s="30" t="n"/>
      <c r="I123" s="30" t="n">
        <v>1411.55</v>
      </c>
      <c r="J123" s="30" t="n"/>
      <c r="K123" s="31">
        <f>IF(AND(B123="SELL",E123&gt;0,J123&lt;&gt;""),J123/E123,0)</f>
        <v/>
      </c>
      <c r="L123" s="31" t="n">
        <v>0</v>
      </c>
      <c r="M123" s="29">
        <f>IF(AND(B123="SELL",L123&gt;0),D123*L123,0)</f>
        <v/>
      </c>
      <c r="N123" s="25" t="n"/>
      <c r="O123" s="32">
        <f>IF(AND(B123="SELL",G123&lt;&gt;0),Q123/ABS(G123),0)</f>
        <v/>
      </c>
      <c r="P123" s="32">
        <f>IF(AND(B123="SELL",D123&gt;0),R123/D123,0)</f>
        <v/>
      </c>
      <c r="Q123" s="33">
        <f>IF(AND(B123="SELL",D123&gt;0,E123&gt;0),(D123/E123)+G123,0)</f>
        <v/>
      </c>
      <c r="R123" s="34">
        <f>IF(B123="SELL",Q123*F123,0)</f>
        <v/>
      </c>
      <c r="S123" s="35">
        <f>S122+R123</f>
        <v/>
      </c>
    </row>
    <row r="124" ht="15.75" customHeight="1" s="94">
      <c r="A124" s="36" t="n">
        <v>123</v>
      </c>
      <c r="B124" s="37" t="inlineStr">
        <is>
          <t>SELL</t>
        </is>
      </c>
      <c r="C124" s="38" t="n">
        <v>45991</v>
      </c>
      <c r="D124" s="39" t="n">
        <v>15000</v>
      </c>
      <c r="E124" s="40" t="n">
        <v>934.11</v>
      </c>
      <c r="F124" s="40" t="n">
        <v>934.11</v>
      </c>
      <c r="G124" s="41" t="n">
        <v>-15.15</v>
      </c>
      <c r="H124" s="41" t="n"/>
      <c r="I124" s="19" t="n">
        <v>1396.4</v>
      </c>
      <c r="J124" s="41" t="n">
        <v>367.308</v>
      </c>
      <c r="K124" s="42">
        <f>IF(AND(B124="SELL",E124&gt;0,J124&lt;&gt;""),J124/E124,0)</f>
        <v/>
      </c>
      <c r="L124" s="42" t="n">
        <v>0.371</v>
      </c>
      <c r="M124" s="40">
        <f>IF(AND(B124="SELL",L124&gt;0),D124*L124,0)</f>
        <v/>
      </c>
      <c r="N124" s="36" t="n"/>
      <c r="O124" s="43">
        <f>IF(AND(B124="SELL",G124&lt;&gt;0),Q124/ABS(G124),0)</f>
        <v/>
      </c>
      <c r="P124" s="43">
        <f>IF(AND(B124="SELL",D124&gt;0),R124/D124,0)</f>
        <v/>
      </c>
      <c r="Q124" s="44">
        <f>IF(AND(B124="SELL",D124&gt;0,E124&gt;0),(D124/E124)+G124,0)</f>
        <v/>
      </c>
      <c r="R124" s="45">
        <f>IF(B124="SELL",Q124*F124,0)</f>
        <v/>
      </c>
      <c r="S124" s="24">
        <f>S123+R124</f>
        <v/>
      </c>
    </row>
    <row r="125" ht="15.75" customHeight="1" s="94">
      <c r="A125" s="46" t="n">
        <v>124</v>
      </c>
      <c r="B125" s="47" t="inlineStr">
        <is>
          <t>SELL</t>
        </is>
      </c>
      <c r="C125" s="48" t="n">
        <v>45991</v>
      </c>
      <c r="D125" s="49" t="n">
        <v>13250</v>
      </c>
      <c r="E125" s="50" t="n">
        <v>934.11</v>
      </c>
      <c r="F125" s="50" t="n">
        <v>934.11</v>
      </c>
      <c r="G125" s="51" t="n">
        <v>-13.46</v>
      </c>
      <c r="H125" s="51" t="n"/>
      <c r="I125" s="30" t="n">
        <v>1382.94</v>
      </c>
      <c r="J125" s="51" t="n">
        <v>365</v>
      </c>
      <c r="K125" s="52">
        <f>IF(AND(B125="SELL",E125&gt;0,J125&lt;&gt;""),J125/E125,0)</f>
        <v/>
      </c>
      <c r="L125" s="52" t="n">
        <v>0.371</v>
      </c>
      <c r="M125" s="50">
        <f>IF(AND(B125="SELL",L125&gt;0),D125*L125,0)</f>
        <v/>
      </c>
      <c r="N125" s="46" t="n"/>
      <c r="O125" s="53">
        <f>IF(AND(B125="SELL",G125&lt;&gt;0),Q125/ABS(G125),0)</f>
        <v/>
      </c>
      <c r="P125" s="53">
        <f>IF(AND(B125="SELL",D125&gt;0),R125/D125,0)</f>
        <v/>
      </c>
      <c r="Q125" s="54">
        <f>IF(AND(B125="SELL",D125&gt;0,E125&gt;0),(D125/E125)+G125,0)</f>
        <v/>
      </c>
      <c r="R125" s="55">
        <f>IF(B125="SELL",Q125*F125,0)</f>
        <v/>
      </c>
      <c r="S125" s="35">
        <f>S124+R125</f>
        <v/>
      </c>
    </row>
    <row r="126" ht="15.75" customHeight="1" s="94">
      <c r="A126" s="36" t="n">
        <v>125</v>
      </c>
      <c r="B126" s="37" t="inlineStr">
        <is>
          <t>SELL</t>
        </is>
      </c>
      <c r="C126" s="38" t="n">
        <v>45991</v>
      </c>
      <c r="D126" s="39" t="n">
        <v>25000</v>
      </c>
      <c r="E126" s="40" t="n">
        <v>934.11</v>
      </c>
      <c r="F126" s="40" t="n">
        <v>934.11</v>
      </c>
      <c r="G126" s="41" t="n">
        <v>-25.28</v>
      </c>
      <c r="H126" s="41" t="n"/>
      <c r="I126" s="19" t="n">
        <v>1357.66</v>
      </c>
      <c r="J126" s="41" t="n">
        <v>366.801</v>
      </c>
      <c r="K126" s="42">
        <f>IF(AND(B126="SELL",E126&gt;0,J126&lt;&gt;""),J126/E126,0)</f>
        <v/>
      </c>
      <c r="L126" s="42" t="n">
        <v>0.371</v>
      </c>
      <c r="M126" s="40">
        <f>IF(AND(B126="SELL",L126&gt;0),D126*L126,0)</f>
        <v/>
      </c>
      <c r="N126" s="36" t="n"/>
      <c r="O126" s="43">
        <f>IF(AND(B126="SELL",G126&lt;&gt;0),Q126/ABS(G126),0)</f>
        <v/>
      </c>
      <c r="P126" s="43">
        <f>IF(AND(B126="SELL",D126&gt;0),R126/D126,0)</f>
        <v/>
      </c>
      <c r="Q126" s="44">
        <f>IF(AND(B126="SELL",D126&gt;0,E126&gt;0),(D126/E126)+G126,0)</f>
        <v/>
      </c>
      <c r="R126" s="45">
        <f>IF(B126="SELL",Q126*F126,0)</f>
        <v/>
      </c>
      <c r="S126" s="24">
        <f>S125+R126</f>
        <v/>
      </c>
    </row>
    <row r="128" ht="21.75" customHeight="1" s="94">
      <c r="A128" s="95" t="inlineStr">
        <is>
          <t>TOTALES — Noviembre 2025</t>
        </is>
      </c>
      <c r="D128" s="56">
        <f>SUMIF(B2:B126,"SELL",D2:D126)</f>
        <v/>
      </c>
      <c r="G128" s="57">
        <f>COUNTIF(B2:B126,"SELL")</f>
        <v/>
      </c>
      <c r="I128" s="58">
        <f>I126</f>
        <v/>
      </c>
      <c r="Q128" s="58">
        <f>SUM(Q2:Q126)</f>
        <v/>
      </c>
      <c r="R128" s="59">
        <f>SUMIF(B2:B126,"SELL",R2:R126)</f>
        <v/>
      </c>
      <c r="S128" s="59">
        <f>S126</f>
        <v/>
      </c>
    </row>
  </sheetData>
  <mergeCells count="1">
    <mergeCell ref="A128:C128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25"/>
  <cols>
    <col width="5" customWidth="1" style="94" min="1" max="1"/>
    <col width="8" customWidth="1" style="94" min="2" max="2"/>
    <col width="11" customWidth="1" style="94" min="3" max="3"/>
    <col width="13" customWidth="1" style="94" min="4" max="6"/>
    <col width="10" customWidth="1" style="94" min="7" max="8"/>
    <col width="13" customWidth="1" style="94" min="9" max="10"/>
    <col width="11" customWidth="1" style="94" min="11" max="12"/>
    <col width="13" customWidth="1" style="94" min="13" max="13"/>
    <col width="20" customWidth="1" style="94" min="14" max="14"/>
    <col width="10" customWidth="1" style="94" min="15" max="16"/>
    <col width="13" customWidth="1" style="94" min="17" max="18"/>
    <col width="15" customWidth="1" style="94" min="19" max="19"/>
  </cols>
  <sheetData>
    <row r="1" ht="21.75" customHeight="1" s="94">
      <c r="A1" s="2" t="inlineStr">
        <is>
          <t>N°</t>
        </is>
      </c>
      <c r="B1" s="2" t="inlineStr">
        <is>
          <t>Tipo</t>
        </is>
      </c>
      <c r="C1" s="2" t="inlineStr">
        <is>
          <t>Fecha</t>
        </is>
      </c>
      <c r="D1" s="2" t="inlineStr">
        <is>
          <t>Monto CLP</t>
        </is>
      </c>
      <c r="E1" s="2" t="inlineStr">
        <is>
          <t>USDT/CLP Compra</t>
        </is>
      </c>
      <c r="F1" s="2" t="inlineStr">
        <is>
          <t>USDT/CLP Venta</t>
        </is>
      </c>
      <c r="G1" s="2" t="inlineStr">
        <is>
          <t>USDT Mov</t>
        </is>
      </c>
      <c r="H1" s="2" t="inlineStr">
        <is>
          <t>Tax Binance</t>
        </is>
      </c>
      <c r="I1" s="2" t="inlineStr">
        <is>
          <t>Capital USDT</t>
        </is>
      </c>
      <c r="J1" s="2" t="inlineStr">
        <is>
          <t>Tasa Destino</t>
        </is>
      </c>
      <c r="K1" s="2" t="inlineStr">
        <is>
          <t>Tasa Real</t>
        </is>
      </c>
      <c r="L1" s="2" t="inlineStr">
        <is>
          <t>Tasa IREMI</t>
        </is>
      </c>
      <c r="M1" s="2" t="inlineStr">
        <is>
          <t>Valor Destino</t>
        </is>
      </c>
      <c r="N1" s="2" t="inlineStr">
        <is>
          <t>Comentario</t>
        </is>
      </c>
      <c r="O1" s="2" t="inlineStr">
        <is>
          <t>% G USDT</t>
        </is>
      </c>
      <c r="P1" s="2" t="inlineStr">
        <is>
          <t>% G CLP</t>
        </is>
      </c>
      <c r="Q1" s="2" t="inlineStr">
        <is>
          <t>Ganancia USDT</t>
        </is>
      </c>
      <c r="R1" s="2" t="inlineStr">
        <is>
          <t>Ganancia CLP</t>
        </is>
      </c>
      <c r="S1" s="2" t="inlineStr">
        <is>
          <t>Acumulado SELL</t>
        </is>
      </c>
    </row>
    <row r="2" ht="15.75" customHeight="1" s="94">
      <c r="A2" s="36" t="n">
        <v>1</v>
      </c>
      <c r="B2" s="37" t="inlineStr">
        <is>
          <t>SELL</t>
        </is>
      </c>
      <c r="C2" s="38" t="n">
        <v>45991</v>
      </c>
      <c r="D2" s="39" t="n">
        <v>25000</v>
      </c>
      <c r="E2" s="40" t="n">
        <v>934.11</v>
      </c>
      <c r="F2" s="40" t="n">
        <v>934.11</v>
      </c>
      <c r="G2" s="41" t="n">
        <v>-25.28</v>
      </c>
      <c r="H2" s="41" t="n"/>
      <c r="I2" s="19" t="n">
        <v>1357.66</v>
      </c>
      <c r="J2" s="41" t="n">
        <v>366.801</v>
      </c>
      <c r="K2" s="42">
        <f>IF(AND(B2="SELL",E2&gt;0,J2&lt;&gt;""),J2/E2,0)</f>
        <v/>
      </c>
      <c r="L2" s="42" t="n">
        <v>0.371</v>
      </c>
      <c r="M2" s="40">
        <f>IF(AND(B2="SELL",L2&gt;0),D2*L2,0)</f>
        <v/>
      </c>
      <c r="N2" s="36" t="n"/>
      <c r="O2" s="43">
        <f>IF(AND(B2="SELL",G2&lt;&gt;0),Q2/ABS(G2),0)</f>
        <v/>
      </c>
      <c r="P2" s="43">
        <f>IF(AND(B2="SELL",D2&gt;0),R2/D2,0)</f>
        <v/>
      </c>
      <c r="Q2" s="44">
        <f>IF(AND(B2="SELL",D2&gt;0,E2&gt;0),(D2/E2)+G2,0)</f>
        <v/>
      </c>
      <c r="R2" s="45">
        <f>IF(B2="SELL",Q2*F2,0)</f>
        <v/>
      </c>
      <c r="S2" s="24">
        <f>'Noviembre 2025'!S126+R2</f>
        <v/>
      </c>
    </row>
    <row r="3" ht="15.75" customHeight="1" s="94">
      <c r="A3" s="46" t="n">
        <v>2</v>
      </c>
      <c r="B3" s="47" t="inlineStr">
        <is>
          <t>SELL</t>
        </is>
      </c>
      <c r="C3" s="48" t="n">
        <v>45992</v>
      </c>
      <c r="D3" s="49" t="n">
        <v>50000</v>
      </c>
      <c r="E3" s="50" t="n">
        <v>934.11</v>
      </c>
      <c r="F3" s="50" t="n">
        <v>934.11</v>
      </c>
      <c r="G3" s="51" t="n">
        <v>-50.88</v>
      </c>
      <c r="H3" s="51" t="n"/>
      <c r="I3" s="30" t="n">
        <v>1306.78</v>
      </c>
      <c r="J3" s="51" t="n">
        <v>371.4</v>
      </c>
      <c r="K3" s="52">
        <f>IF(AND(B3="SELL",E3&gt;0,J3&lt;&gt;""),J3/E3,0)</f>
        <v/>
      </c>
      <c r="L3" s="52" t="n">
        <v>0.378</v>
      </c>
      <c r="M3" s="50">
        <f>IF(AND(B3="SELL",L3&gt;0),D3*L3,0)</f>
        <v/>
      </c>
      <c r="N3" s="46" t="n"/>
      <c r="O3" s="53">
        <f>IF(AND(B3="SELL",G3&lt;&gt;0),Q3/ABS(G3),0)</f>
        <v/>
      </c>
      <c r="P3" s="53">
        <f>IF(AND(B3="SELL",D3&gt;0),R3/D3,0)</f>
        <v/>
      </c>
      <c r="Q3" s="54">
        <f>IF(AND(B3="SELL",D3&gt;0,E3&gt;0),(D3/E3)+G3,0)</f>
        <v/>
      </c>
      <c r="R3" s="55">
        <f>IF(B3="SELL",Q3*F3,0)</f>
        <v/>
      </c>
      <c r="S3" s="35">
        <f>S2+R3</f>
        <v/>
      </c>
    </row>
    <row r="4" ht="15.75" customHeight="1" s="94">
      <c r="A4" s="36" t="n">
        <v>3</v>
      </c>
      <c r="B4" s="37" t="inlineStr">
        <is>
          <t>SELL</t>
        </is>
      </c>
      <c r="C4" s="38" t="n">
        <v>45992</v>
      </c>
      <c r="D4" s="39" t="n">
        <v>32000</v>
      </c>
      <c r="E4" s="40" t="n">
        <v>934.11</v>
      </c>
      <c r="F4" s="40" t="n">
        <v>934.11</v>
      </c>
      <c r="G4" s="41" t="n">
        <v>-32.53</v>
      </c>
      <c r="H4" s="41" t="n"/>
      <c r="I4" s="19" t="n">
        <v>1274.25</v>
      </c>
      <c r="J4" s="41" t="n">
        <v>368.851</v>
      </c>
      <c r="K4" s="42">
        <f>IF(AND(B4="SELL",E4&gt;0,J4&lt;&gt;""),J4/E4,0)</f>
        <v/>
      </c>
      <c r="L4" s="42" t="n">
        <v>0.375</v>
      </c>
      <c r="M4" s="40">
        <f>IF(AND(B4="SELL",L4&gt;0),D4*L4,0)</f>
        <v/>
      </c>
      <c r="N4" s="36" t="n"/>
      <c r="O4" s="43">
        <f>IF(AND(B4="SELL",G4&lt;&gt;0),Q4/ABS(G4),0)</f>
        <v/>
      </c>
      <c r="P4" s="43">
        <f>IF(AND(B4="SELL",D4&gt;0),R4/D4,0)</f>
        <v/>
      </c>
      <c r="Q4" s="44">
        <f>IF(AND(B4="SELL",D4&gt;0,E4&gt;0),(D4/E4)+G4,0)</f>
        <v/>
      </c>
      <c r="R4" s="45">
        <f>IF(B4="SELL",Q4*F4,0)</f>
        <v/>
      </c>
      <c r="S4" s="24">
        <f>S3+R4</f>
        <v/>
      </c>
    </row>
    <row r="5" ht="15.75" customHeight="1" s="94">
      <c r="A5" s="46" t="n">
        <v>4</v>
      </c>
      <c r="B5" s="47" t="inlineStr">
        <is>
          <t>SELL</t>
        </is>
      </c>
      <c r="C5" s="48" t="n">
        <v>45992</v>
      </c>
      <c r="D5" s="49" t="n">
        <v>60000</v>
      </c>
      <c r="E5" s="50" t="n">
        <v>934.11</v>
      </c>
      <c r="F5" s="50" t="n">
        <v>934.11</v>
      </c>
      <c r="G5" s="51" t="n">
        <v>-60.15</v>
      </c>
      <c r="H5" s="51" t="n"/>
      <c r="I5" s="30" t="n">
        <v>1214.1</v>
      </c>
      <c r="J5" s="51" t="n">
        <v>374.02</v>
      </c>
      <c r="K5" s="52">
        <f>IF(AND(B5="SELL",E5&gt;0,J5&lt;&gt;""),J5/E5,0)</f>
        <v/>
      </c>
      <c r="L5" s="52" t="n">
        <v>0.375</v>
      </c>
      <c r="M5" s="50">
        <f>IF(AND(B5="SELL",L5&gt;0),D5*L5,0)</f>
        <v/>
      </c>
      <c r="N5" s="46" t="n"/>
      <c r="O5" s="53">
        <f>IF(AND(B5="SELL",G5&lt;&gt;0),Q5/ABS(G5),0)</f>
        <v/>
      </c>
      <c r="P5" s="53">
        <f>IF(AND(B5="SELL",D5&gt;0),R5/D5,0)</f>
        <v/>
      </c>
      <c r="Q5" s="54">
        <f>IF(AND(B5="SELL",D5&gt;0,E5&gt;0),(D5/E5)+G5,0)</f>
        <v/>
      </c>
      <c r="R5" s="55">
        <f>IF(B5="SELL",Q5*F5,0)</f>
        <v/>
      </c>
      <c r="S5" s="35">
        <f>S4+R5</f>
        <v/>
      </c>
    </row>
    <row r="6" ht="15.75" customHeight="1" s="94">
      <c r="A6" s="36" t="n">
        <v>5</v>
      </c>
      <c r="B6" s="37" t="inlineStr">
        <is>
          <t>SELL</t>
        </is>
      </c>
      <c r="C6" s="38" t="n">
        <v>45992</v>
      </c>
      <c r="D6" s="39" t="n">
        <v>200000</v>
      </c>
      <c r="E6" s="40" t="n">
        <v>934.11</v>
      </c>
      <c r="F6" s="40" t="n">
        <v>934.11</v>
      </c>
      <c r="G6" s="41" t="n">
        <v>-201.17</v>
      </c>
      <c r="H6" s="41" t="n"/>
      <c r="I6" s="19" t="n">
        <v>1012.93</v>
      </c>
      <c r="J6" s="41" t="n">
        <v>373.85</v>
      </c>
      <c r="K6" s="42">
        <f>IF(AND(B6="SELL",E6&gt;0,J6&lt;&gt;""),J6/E6,0)</f>
        <v/>
      </c>
      <c r="L6" s="42" t="n">
        <v>0.376</v>
      </c>
      <c r="M6" s="40">
        <f>IF(AND(B6="SELL",L6&gt;0),D6*L6,0)</f>
        <v/>
      </c>
      <c r="N6" s="36" t="n"/>
      <c r="O6" s="43">
        <f>IF(AND(B6="SELL",G6&lt;&gt;0),Q6/ABS(G6),0)</f>
        <v/>
      </c>
      <c r="P6" s="43">
        <f>IF(AND(B6="SELL",D6&gt;0),R6/D6,0)</f>
        <v/>
      </c>
      <c r="Q6" s="44">
        <f>IF(AND(B6="SELL",D6&gt;0,E6&gt;0),(D6/E6)+G6,0)</f>
        <v/>
      </c>
      <c r="R6" s="45">
        <f>IF(B6="SELL",Q6*F6,0)</f>
        <v/>
      </c>
      <c r="S6" s="24">
        <f>S5+R6</f>
        <v/>
      </c>
    </row>
    <row r="7" ht="15.75" customHeight="1" s="94">
      <c r="A7" s="46" t="n">
        <v>6</v>
      </c>
      <c r="B7" s="47" t="inlineStr">
        <is>
          <t>SELL</t>
        </is>
      </c>
      <c r="C7" s="48" t="n">
        <v>45992</v>
      </c>
      <c r="D7" s="49" t="n">
        <v>130000</v>
      </c>
      <c r="E7" s="50" t="n">
        <v>934.11</v>
      </c>
      <c r="F7" s="50" t="n">
        <v>934.11</v>
      </c>
      <c r="G7" s="51" t="n">
        <v>-130.69</v>
      </c>
      <c r="H7" s="51" t="n"/>
      <c r="I7" s="30" t="n">
        <v>882.24</v>
      </c>
      <c r="J7" s="51" t="n">
        <v>373.001</v>
      </c>
      <c r="K7" s="52">
        <f>IF(AND(B7="SELL",E7&gt;0,J7&lt;&gt;""),J7/E7,0)</f>
        <v/>
      </c>
      <c r="L7" s="52" t="n">
        <v>0.375</v>
      </c>
      <c r="M7" s="50">
        <f>IF(AND(B7="SELL",L7&gt;0),D7*L7,0)</f>
        <v/>
      </c>
      <c r="N7" s="46" t="n"/>
      <c r="O7" s="53">
        <f>IF(AND(B7="SELL",G7&lt;&gt;0),Q7/ABS(G7),0)</f>
        <v/>
      </c>
      <c r="P7" s="53">
        <f>IF(AND(B7="SELL",D7&gt;0),R7/D7,0)</f>
        <v/>
      </c>
      <c r="Q7" s="54">
        <f>IF(AND(B7="SELL",D7&gt;0,E7&gt;0),(D7/E7)+G7,0)</f>
        <v/>
      </c>
      <c r="R7" s="55">
        <f>IF(B7="SELL",Q7*F7,0)</f>
        <v/>
      </c>
      <c r="S7" s="35">
        <f>S6+R7</f>
        <v/>
      </c>
    </row>
    <row r="8" ht="15.75" customHeight="1" s="94">
      <c r="A8" s="36" t="n">
        <v>7</v>
      </c>
      <c r="B8" s="37" t="inlineStr">
        <is>
          <t>SELL</t>
        </is>
      </c>
      <c r="C8" s="38" t="n">
        <v>45992</v>
      </c>
      <c r="D8" s="39" t="n">
        <v>65500</v>
      </c>
      <c r="E8" s="40" t="n">
        <v>934.11</v>
      </c>
      <c r="F8" s="40" t="n">
        <v>934.11</v>
      </c>
      <c r="G8" s="41" t="n">
        <v>-64.89</v>
      </c>
      <c r="H8" s="41" t="n"/>
      <c r="I8" s="19" t="n">
        <v>811.35</v>
      </c>
      <c r="J8" s="41" t="n">
        <v>378.801</v>
      </c>
      <c r="K8" s="42">
        <f>IF(AND(B8="SELL",E8&gt;0,J8&lt;&gt;""),J8/E8,0)</f>
        <v/>
      </c>
      <c r="L8" s="42" t="n">
        <v>0.375</v>
      </c>
      <c r="M8" s="40">
        <f>IF(AND(B8="SELL",L8&gt;0),D8*L8,0)</f>
        <v/>
      </c>
      <c r="N8" s="36" t="n"/>
      <c r="O8" s="43">
        <f>IF(AND(B8="SELL",G8&lt;&gt;0),Q8/ABS(G8),0)</f>
        <v/>
      </c>
      <c r="P8" s="43">
        <f>IF(AND(B8="SELL",D8&gt;0),R8/D8,0)</f>
        <v/>
      </c>
      <c r="Q8" s="44">
        <f>IF(AND(B8="SELL",D8&gt;0,E8&gt;0),(D8/E8)+G8,0)</f>
        <v/>
      </c>
      <c r="R8" s="45">
        <f>IF(B8="SELL",Q8*F8,0)</f>
        <v/>
      </c>
      <c r="S8" s="24">
        <f>S7+R8</f>
        <v/>
      </c>
    </row>
    <row r="9" ht="15.75" customHeight="1" s="94">
      <c r="A9" s="46" t="n">
        <v>8</v>
      </c>
      <c r="B9" s="47" t="inlineStr">
        <is>
          <t>SELL</t>
        </is>
      </c>
      <c r="C9" s="48" t="n">
        <v>45993</v>
      </c>
      <c r="D9" s="49" t="n">
        <v>33000</v>
      </c>
      <c r="E9" s="50" t="n">
        <v>934.11</v>
      </c>
      <c r="F9" s="50" t="n">
        <v>934.11</v>
      </c>
      <c r="G9" s="51" t="n">
        <v>-33.12</v>
      </c>
      <c r="H9" s="51" t="n"/>
      <c r="I9" s="30" t="n">
        <v>778.23</v>
      </c>
      <c r="J9" s="51" t="n">
        <v>384.27</v>
      </c>
      <c r="K9" s="52">
        <f>IF(AND(B9="SELL",E9&gt;0,J9&lt;&gt;""),J9/E9,0)</f>
        <v/>
      </c>
      <c r="L9" s="52" t="n">
        <v>0.385</v>
      </c>
      <c r="M9" s="50">
        <f>IF(AND(B9="SELL",L9&gt;0),D9*L9,0)</f>
        <v/>
      </c>
      <c r="N9" s="46" t="n"/>
      <c r="O9" s="53">
        <f>IF(AND(B9="SELL",G9&lt;&gt;0),Q9/ABS(G9),0)</f>
        <v/>
      </c>
      <c r="P9" s="53">
        <f>IF(AND(B9="SELL",D9&gt;0),R9/D9,0)</f>
        <v/>
      </c>
      <c r="Q9" s="54">
        <f>IF(AND(B9="SELL",D9&gt;0,E9&gt;0),(D9/E9)+G9,0)</f>
        <v/>
      </c>
      <c r="R9" s="55">
        <f>IF(B9="SELL",Q9*F9,0)</f>
        <v/>
      </c>
      <c r="S9" s="35">
        <f>S8+R9</f>
        <v/>
      </c>
    </row>
    <row r="10" ht="15.75" customHeight="1" s="94">
      <c r="A10" s="36" t="n">
        <v>9</v>
      </c>
      <c r="B10" s="37" t="inlineStr">
        <is>
          <t>SELL</t>
        </is>
      </c>
      <c r="C10" s="38" t="n">
        <v>45993</v>
      </c>
      <c r="D10" s="39" t="n">
        <v>60000</v>
      </c>
      <c r="E10" s="40" t="n">
        <v>934.11</v>
      </c>
      <c r="F10" s="40" t="n">
        <v>934.11</v>
      </c>
      <c r="G10" s="41" t="n">
        <v>-58.94</v>
      </c>
      <c r="H10" s="41" t="n"/>
      <c r="I10" s="19" t="n">
        <v>719.29</v>
      </c>
      <c r="J10" s="41" t="n">
        <v>3750.05</v>
      </c>
      <c r="K10" s="42">
        <f>IF(AND(B10="SELL",E10&gt;0,J10&lt;&gt;""),J10/E10,0)</f>
        <v/>
      </c>
      <c r="L10" s="42" t="n">
        <v>3.68</v>
      </c>
      <c r="M10" s="40">
        <f>IF(AND(B10="SELL",L10&gt;0),D10*L10,0)</f>
        <v/>
      </c>
      <c r="N10" s="36" t="n"/>
      <c r="O10" s="43">
        <f>IF(AND(B10="SELL",G10&lt;&gt;0),Q10/ABS(G10),0)</f>
        <v/>
      </c>
      <c r="P10" s="43">
        <f>IF(AND(B10="SELL",D10&gt;0),R10/D10,0)</f>
        <v/>
      </c>
      <c r="Q10" s="44">
        <f>IF(AND(B10="SELL",D10&gt;0,E10&gt;0),(D10/E10)+G10,0)</f>
        <v/>
      </c>
      <c r="R10" s="45">
        <f>IF(B10="SELL",Q10*F10,0)</f>
        <v/>
      </c>
      <c r="S10" s="24">
        <f>S9+R10</f>
        <v/>
      </c>
    </row>
    <row r="11" ht="15.75" customHeight="1" s="94">
      <c r="A11" s="46" t="n">
        <v>10</v>
      </c>
      <c r="B11" s="47" t="inlineStr">
        <is>
          <t>SELL</t>
        </is>
      </c>
      <c r="C11" s="48" t="n">
        <v>45993</v>
      </c>
      <c r="D11" s="49" t="n">
        <v>40000</v>
      </c>
      <c r="E11" s="50" t="n">
        <v>934.11</v>
      </c>
      <c r="F11" s="50" t="n">
        <v>934.11</v>
      </c>
      <c r="G11" s="51" t="n">
        <v>-40.21</v>
      </c>
      <c r="H11" s="51" t="n"/>
      <c r="I11" s="30" t="n">
        <v>679.08</v>
      </c>
      <c r="J11" s="51" t="n">
        <v>383.54</v>
      </c>
      <c r="K11" s="52">
        <f>IF(AND(B11="SELL",E11&gt;0,J11&lt;&gt;""),J11/E11,0)</f>
        <v/>
      </c>
      <c r="L11" s="52" t="n">
        <v>0.385</v>
      </c>
      <c r="M11" s="50">
        <f>IF(AND(B11="SELL",L11&gt;0),D11*L11,0)</f>
        <v/>
      </c>
      <c r="N11" s="46" t="n"/>
      <c r="O11" s="53">
        <f>IF(AND(B11="SELL",G11&lt;&gt;0),Q11/ABS(G11),0)</f>
        <v/>
      </c>
      <c r="P11" s="53">
        <f>IF(AND(B11="SELL",D11&gt;0),R11/D11,0)</f>
        <v/>
      </c>
      <c r="Q11" s="54">
        <f>IF(AND(B11="SELL",D11&gt;0,E11&gt;0),(D11/E11)+G11,0)</f>
        <v/>
      </c>
      <c r="R11" s="55">
        <f>IF(B11="SELL",Q11*F11,0)</f>
        <v/>
      </c>
      <c r="S11" s="35">
        <f>S10+R11</f>
        <v/>
      </c>
    </row>
    <row r="12" ht="15.75" customHeight="1" s="94">
      <c r="A12" s="36" t="n">
        <v>11</v>
      </c>
      <c r="B12" s="37" t="inlineStr">
        <is>
          <t>SELL</t>
        </is>
      </c>
      <c r="C12" s="38" t="n">
        <v>45993</v>
      </c>
      <c r="D12" s="39" t="n">
        <v>50000</v>
      </c>
      <c r="E12" s="40" t="n">
        <v>934.11</v>
      </c>
      <c r="F12" s="40" t="n">
        <v>934.11</v>
      </c>
      <c r="G12" s="41" t="n">
        <v>-51.6</v>
      </c>
      <c r="H12" s="41" t="n"/>
      <c r="I12" s="19" t="n">
        <v>627.48</v>
      </c>
      <c r="J12" s="41" t="n">
        <v>373.001</v>
      </c>
      <c r="K12" s="42">
        <f>IF(AND(B12="SELL",E12&gt;0,J12&lt;&gt;""),J12/E12,0)</f>
        <v/>
      </c>
      <c r="L12" s="42" t="n">
        <v>0.385</v>
      </c>
      <c r="M12" s="40">
        <f>IF(AND(B12="SELL",L12&gt;0),D12*L12,0)</f>
        <v/>
      </c>
      <c r="N12" s="36" t="n"/>
      <c r="O12" s="43">
        <f>IF(AND(B12="SELL",G12&lt;&gt;0),Q12/ABS(G12),0)</f>
        <v/>
      </c>
      <c r="P12" s="43">
        <f>IF(AND(B12="SELL",D12&gt;0),R12/D12,0)</f>
        <v/>
      </c>
      <c r="Q12" s="44">
        <f>IF(AND(B12="SELL",D12&gt;0,E12&gt;0),(D12/E12)+G12,0)</f>
        <v/>
      </c>
      <c r="R12" s="45">
        <f>IF(B12="SELL",Q12*F12,0)</f>
        <v/>
      </c>
      <c r="S12" s="24">
        <f>S11+R12</f>
        <v/>
      </c>
    </row>
    <row r="13" ht="15.75" customHeight="1" s="94">
      <c r="A13" s="46" t="n">
        <v>12</v>
      </c>
      <c r="B13" s="47" t="inlineStr">
        <is>
          <t>SELL</t>
        </is>
      </c>
      <c r="C13" s="48" t="n">
        <v>45994</v>
      </c>
      <c r="D13" s="49" t="n">
        <v>50000</v>
      </c>
      <c r="E13" s="50" t="n">
        <v>934.11</v>
      </c>
      <c r="F13" s="50" t="n">
        <v>934.11</v>
      </c>
      <c r="G13" s="51" t="n">
        <v>-50.53</v>
      </c>
      <c r="H13" s="51" t="n"/>
      <c r="I13" s="30" t="n">
        <v>576.95</v>
      </c>
      <c r="J13" s="51" t="n">
        <v>396.22</v>
      </c>
      <c r="K13" s="52">
        <f>IF(AND(B13="SELL",E13&gt;0,J13&lt;&gt;""),J13/E13,0)</f>
        <v/>
      </c>
      <c r="L13" s="52" t="n">
        <v>0.4</v>
      </c>
      <c r="M13" s="50">
        <f>IF(AND(B13="SELL",L13&gt;0),D13*L13,0)</f>
        <v/>
      </c>
      <c r="N13" s="46" t="n"/>
      <c r="O13" s="53">
        <f>IF(AND(B13="SELL",G13&lt;&gt;0),Q13/ABS(G13),0)</f>
        <v/>
      </c>
      <c r="P13" s="53">
        <f>IF(AND(B13="SELL",D13&gt;0),R13/D13,0)</f>
        <v/>
      </c>
      <c r="Q13" s="54">
        <f>IF(AND(B13="SELL",D13&gt;0,E13&gt;0),(D13/E13)+G13,0)</f>
        <v/>
      </c>
      <c r="R13" s="55">
        <f>IF(B13="SELL",Q13*F13,0)</f>
        <v/>
      </c>
      <c r="S13" s="35">
        <f>S12+R13</f>
        <v/>
      </c>
    </row>
    <row r="14" ht="15.75" customHeight="1" s="94">
      <c r="A14" s="36" t="n">
        <v>13</v>
      </c>
      <c r="B14" s="37" t="inlineStr">
        <is>
          <t>SELL</t>
        </is>
      </c>
      <c r="C14" s="38" t="n">
        <v>45994</v>
      </c>
      <c r="D14" s="39" t="n">
        <v>49000</v>
      </c>
      <c r="E14" s="40" t="n">
        <v>934.11</v>
      </c>
      <c r="F14" s="40" t="n">
        <v>934.11</v>
      </c>
      <c r="G14" s="41" t="n">
        <v>-48.69</v>
      </c>
      <c r="H14" s="41" t="n"/>
      <c r="I14" s="19" t="n">
        <v>528.26</v>
      </c>
      <c r="J14" s="41" t="n">
        <v>403</v>
      </c>
      <c r="K14" s="42">
        <f>IF(AND(B14="SELL",E14&gt;0,J14&lt;&gt;""),J14/E14,0)</f>
        <v/>
      </c>
      <c r="L14" s="42" t="n">
        <v>0.4</v>
      </c>
      <c r="M14" s="40">
        <f>IF(AND(B14="SELL",L14&gt;0),D14*L14,0)</f>
        <v/>
      </c>
      <c r="N14" s="36" t="n"/>
      <c r="O14" s="43">
        <f>IF(AND(B14="SELL",G14&lt;&gt;0),Q14/ABS(G14),0)</f>
        <v/>
      </c>
      <c r="P14" s="43">
        <f>IF(AND(B14="SELL",D14&gt;0),R14/D14,0)</f>
        <v/>
      </c>
      <c r="Q14" s="44">
        <f>IF(AND(B14="SELL",D14&gt;0,E14&gt;0),(D14/E14)+G14,0)</f>
        <v/>
      </c>
      <c r="R14" s="45">
        <f>IF(B14="SELL",Q14*F14,0)</f>
        <v/>
      </c>
      <c r="S14" s="24">
        <f>S13+R14</f>
        <v/>
      </c>
    </row>
    <row r="15" ht="15.75" customHeight="1" s="94">
      <c r="A15" s="46" t="n">
        <v>14</v>
      </c>
      <c r="B15" s="47" t="inlineStr">
        <is>
          <t>SELL</t>
        </is>
      </c>
      <c r="C15" s="48" t="n">
        <v>45995</v>
      </c>
      <c r="D15" s="49" t="n">
        <v>100000</v>
      </c>
      <c r="E15" s="50" t="n">
        <v>934.11</v>
      </c>
      <c r="F15" s="50" t="n">
        <v>934.11</v>
      </c>
      <c r="G15" s="51" t="n">
        <v>-100.06</v>
      </c>
      <c r="H15" s="51" t="n"/>
      <c r="I15" s="30" t="n">
        <v>428.2</v>
      </c>
      <c r="J15" s="51" t="n">
        <v>414</v>
      </c>
      <c r="K15" s="52">
        <f>IF(AND(B15="SELL",E15&gt;0,J15&lt;&gt;""),J15/E15,0)</f>
        <v/>
      </c>
      <c r="L15" s="52" t="n">
        <v>0.414</v>
      </c>
      <c r="M15" s="50">
        <f>IF(AND(B15="SELL",L15&gt;0),D15*L15,0)</f>
        <v/>
      </c>
      <c r="N15" s="46" t="n"/>
      <c r="O15" s="53">
        <f>IF(AND(B15="SELL",G15&lt;&gt;0),Q15/ABS(G15),0)</f>
        <v/>
      </c>
      <c r="P15" s="53">
        <f>IF(AND(B15="SELL",D15&gt;0),R15/D15,0)</f>
        <v/>
      </c>
      <c r="Q15" s="54">
        <f>IF(AND(B15="SELL",D15&gt;0,E15&gt;0),(D15/E15)+G15,0)</f>
        <v/>
      </c>
      <c r="R15" s="55">
        <f>IF(B15="SELL",Q15*F15,0)</f>
        <v/>
      </c>
      <c r="S15" s="35">
        <f>S14+R15</f>
        <v/>
      </c>
    </row>
    <row r="16" ht="15.75" customHeight="1" s="94">
      <c r="A16" s="36" t="n">
        <v>15</v>
      </c>
      <c r="B16" s="37" t="inlineStr">
        <is>
          <t>SELL</t>
        </is>
      </c>
      <c r="C16" s="38" t="n">
        <v>45997</v>
      </c>
      <c r="D16" s="39" t="n">
        <v>20000</v>
      </c>
      <c r="E16" s="40" t="n">
        <v>924.5</v>
      </c>
      <c r="F16" s="40" t="n">
        <v>924.5</v>
      </c>
      <c r="G16" s="41" t="n">
        <v>-20.59</v>
      </c>
      <c r="H16" s="41" t="n"/>
      <c r="I16" s="19" t="n">
        <v>407.61</v>
      </c>
      <c r="J16" s="41" t="n">
        <v>414.829</v>
      </c>
      <c r="K16" s="42">
        <f>IF(AND(B16="SELL",E16&gt;0,J16&lt;&gt;""),J16/E16,0)</f>
        <v/>
      </c>
      <c r="L16" s="42" t="n">
        <v>0.428</v>
      </c>
      <c r="M16" s="40">
        <f>IF(AND(B16="SELL",L16&gt;0),D16*L16,0)</f>
        <v/>
      </c>
      <c r="N16" s="36" t="n"/>
      <c r="O16" s="43">
        <f>IF(AND(B16="SELL",G16&lt;&gt;0),Q16/ABS(G16),0)</f>
        <v/>
      </c>
      <c r="P16" s="43">
        <f>IF(AND(B16="SELL",D16&gt;0),R16/D16,0)</f>
        <v/>
      </c>
      <c r="Q16" s="44">
        <f>IF(AND(B16="SELL",D16&gt;0,E16&gt;0),(D16/E16)+G16,0)</f>
        <v/>
      </c>
      <c r="R16" s="45">
        <f>IF(B16="SELL",Q16*F16,0)</f>
        <v/>
      </c>
      <c r="S16" s="24">
        <f>S15+R16</f>
        <v/>
      </c>
    </row>
    <row r="17" ht="15.75" customHeight="1" s="94">
      <c r="A17" s="46" t="n">
        <v>16</v>
      </c>
      <c r="B17" s="47" t="inlineStr">
        <is>
          <t>SELL</t>
        </is>
      </c>
      <c r="C17" s="48" t="n">
        <v>45995</v>
      </c>
      <c r="D17" s="49" t="n">
        <v>40000</v>
      </c>
      <c r="E17" s="50" t="n">
        <v>934.11</v>
      </c>
      <c r="F17" s="50" t="n">
        <v>934.11</v>
      </c>
      <c r="G17" s="51" t="n">
        <v>-39.2</v>
      </c>
      <c r="H17" s="51" t="n"/>
      <c r="I17" s="30" t="n">
        <v>368.41</v>
      </c>
      <c r="J17" s="51" t="n">
        <v>423</v>
      </c>
      <c r="K17" s="52">
        <f>IF(AND(B17="SELL",E17&gt;0,J17&lt;&gt;""),J17/E17,0)</f>
        <v/>
      </c>
      <c r="L17" s="52" t="n">
        <v>0.414</v>
      </c>
      <c r="M17" s="50">
        <f>IF(AND(B17="SELL",L17&gt;0),D17*L17,0)</f>
        <v/>
      </c>
      <c r="N17" s="46" t="n"/>
      <c r="O17" s="53">
        <f>IF(AND(B17="SELL",G17&lt;&gt;0),Q17/ABS(G17),0)</f>
        <v/>
      </c>
      <c r="P17" s="53">
        <f>IF(AND(B17="SELL",D17&gt;0),R17/D17,0)</f>
        <v/>
      </c>
      <c r="Q17" s="54">
        <f>IF(AND(B17="SELL",D17&gt;0,E17&gt;0),(D17/E17)+G17,0)</f>
        <v/>
      </c>
      <c r="R17" s="55">
        <f>IF(B17="SELL",Q17*F17,0)</f>
        <v/>
      </c>
      <c r="S17" s="35">
        <f>S16+R17</f>
        <v/>
      </c>
    </row>
    <row r="18" ht="15.75" customHeight="1" s="94">
      <c r="A18" s="14" t="n">
        <v>17</v>
      </c>
      <c r="B18" s="15" t="inlineStr">
        <is>
          <t>BUY</t>
        </is>
      </c>
      <c r="C18" s="16" t="n">
        <v>45995</v>
      </c>
      <c r="D18" s="17" t="n">
        <v>1435000</v>
      </c>
      <c r="E18" s="18" t="n">
        <v>924.5</v>
      </c>
      <c r="F18" s="18" t="n">
        <v>924.5</v>
      </c>
      <c r="G18" s="19" t="n">
        <v>1552.12</v>
      </c>
      <c r="H18" s="19" t="n"/>
      <c r="I18" s="19" t="n">
        <v>1920.53</v>
      </c>
      <c r="J18" s="19" t="n"/>
      <c r="K18" s="20">
        <f>IF(AND(B18="SELL",E18&gt;0,J18&lt;&gt;""),J18/E18,0)</f>
        <v/>
      </c>
      <c r="L18" s="20" t="n"/>
      <c r="M18" s="18">
        <f>IF(AND(B18="SELL",L18&gt;0),D18*L18,0)</f>
        <v/>
      </c>
      <c r="N18" s="14" t="n"/>
      <c r="O18" s="21">
        <f>IF(AND(B18="SELL",G18&lt;&gt;0),Q18/ABS(G18),0)</f>
        <v/>
      </c>
      <c r="P18" s="21">
        <f>IF(AND(B18="SELL",D18&gt;0),R18/D18,0)</f>
        <v/>
      </c>
      <c r="Q18" s="22">
        <f>IF(AND(B18="SELL",D18&gt;0,E18&gt;0),(D18/E18)+G18,0)</f>
        <v/>
      </c>
      <c r="R18" s="23">
        <f>IF(B18="SELL",Q18*F18,0)</f>
        <v/>
      </c>
      <c r="S18" s="24">
        <f>S17+R18</f>
        <v/>
      </c>
    </row>
    <row r="19" ht="15.75" customHeight="1" s="94">
      <c r="A19" s="46" t="n">
        <v>18</v>
      </c>
      <c r="B19" s="47" t="inlineStr">
        <is>
          <t>SELL</t>
        </is>
      </c>
      <c r="C19" s="48" t="n">
        <v>45996</v>
      </c>
      <c r="D19" s="49" t="n">
        <v>95000</v>
      </c>
      <c r="E19" s="50" t="n">
        <v>924.5</v>
      </c>
      <c r="F19" s="50" t="n">
        <v>924.5</v>
      </c>
      <c r="G19" s="51" t="n">
        <v>-97.34</v>
      </c>
      <c r="H19" s="51" t="n"/>
      <c r="I19" s="30" t="n">
        <v>1823.19</v>
      </c>
      <c r="J19" s="51" t="n">
        <v>416.01</v>
      </c>
      <c r="K19" s="52">
        <f>IF(AND(B19="SELL",E19&gt;0,J19&lt;&gt;""),J19/E19,0)</f>
        <v/>
      </c>
      <c r="L19" s="52" t="n">
        <v>0.426</v>
      </c>
      <c r="M19" s="50">
        <f>IF(AND(B19="SELL",L19&gt;0),D19*L19,0)</f>
        <v/>
      </c>
      <c r="N19" s="46" t="n"/>
      <c r="O19" s="53">
        <f>IF(AND(B19="SELL",G19&lt;&gt;0),Q19/ABS(G19),0)</f>
        <v/>
      </c>
      <c r="P19" s="53">
        <f>IF(AND(B19="SELL",D19&gt;0),R19/D19,0)</f>
        <v/>
      </c>
      <c r="Q19" s="54">
        <f>IF(AND(B19="SELL",D19&gt;0,E19&gt;0),(D19/E19)+G19,0)</f>
        <v/>
      </c>
      <c r="R19" s="55">
        <f>IF(B19="SELL",Q19*F19,0)</f>
        <v/>
      </c>
      <c r="S19" s="35">
        <f>S18+R19</f>
        <v/>
      </c>
    </row>
    <row r="20" ht="15.75" customHeight="1" s="94">
      <c r="A20" s="36" t="n">
        <v>19</v>
      </c>
      <c r="B20" s="37" t="inlineStr">
        <is>
          <t>SELL</t>
        </is>
      </c>
      <c r="C20" s="38" t="n">
        <v>45996</v>
      </c>
      <c r="D20" s="39" t="n">
        <v>100000</v>
      </c>
      <c r="E20" s="40" t="n">
        <v>924.5</v>
      </c>
      <c r="F20" s="40" t="n">
        <v>924.5</v>
      </c>
      <c r="G20" s="41" t="n">
        <v>-102.16</v>
      </c>
      <c r="H20" s="41" t="n"/>
      <c r="I20" s="19" t="n">
        <v>1721.03</v>
      </c>
      <c r="J20" s="41" t="n">
        <v>417.2</v>
      </c>
      <c r="K20" s="42">
        <f>IF(AND(B20="SELL",E20&gt;0,J20&lt;&gt;""),J20/E20,0)</f>
        <v/>
      </c>
      <c r="L20" s="42" t="n">
        <v>0.426</v>
      </c>
      <c r="M20" s="40">
        <f>IF(AND(B20="SELL",L20&gt;0),D20*L20,0)</f>
        <v/>
      </c>
      <c r="N20" s="36" t="n"/>
      <c r="O20" s="43">
        <f>IF(AND(B20="SELL",G20&lt;&gt;0),Q20/ABS(G20),0)</f>
        <v/>
      </c>
      <c r="P20" s="43">
        <f>IF(AND(B20="SELL",D20&gt;0),R20/D20,0)</f>
        <v/>
      </c>
      <c r="Q20" s="44">
        <f>IF(AND(B20="SELL",D20&gt;0,E20&gt;0),(D20/E20)+G20,0)</f>
        <v/>
      </c>
      <c r="R20" s="45">
        <f>IF(B20="SELL",Q20*F20,0)</f>
        <v/>
      </c>
      <c r="S20" s="24">
        <f>S19+R20</f>
        <v/>
      </c>
    </row>
    <row r="21" ht="15.75" customHeight="1" s="94">
      <c r="A21" s="46" t="n">
        <v>20</v>
      </c>
      <c r="B21" s="47" t="inlineStr">
        <is>
          <t>SELL</t>
        </is>
      </c>
      <c r="C21" s="48" t="n">
        <v>45996</v>
      </c>
      <c r="D21" s="49" t="n">
        <v>15000</v>
      </c>
      <c r="E21" s="50" t="n">
        <v>924.5</v>
      </c>
      <c r="F21" s="50" t="n">
        <v>924.5</v>
      </c>
      <c r="G21" s="51" t="n">
        <v>-15.46</v>
      </c>
      <c r="H21" s="51" t="n"/>
      <c r="I21" s="30" t="n">
        <v>1705.57</v>
      </c>
      <c r="J21" s="51" t="n">
        <v>414.1</v>
      </c>
      <c r="K21" s="52">
        <f>IF(AND(B21="SELL",E21&gt;0,J21&lt;&gt;""),J21/E21,0)</f>
        <v/>
      </c>
      <c r="L21" s="52" t="n">
        <v>0.426</v>
      </c>
      <c r="M21" s="50">
        <f>IF(AND(B21="SELL",L21&gt;0),D21*L21,0)</f>
        <v/>
      </c>
      <c r="N21" s="46" t="n"/>
      <c r="O21" s="53">
        <f>IF(AND(B21="SELL",G21&lt;&gt;0),Q21/ABS(G21),0)</f>
        <v/>
      </c>
      <c r="P21" s="53">
        <f>IF(AND(B21="SELL",D21&gt;0),R21/D21,0)</f>
        <v/>
      </c>
      <c r="Q21" s="54">
        <f>IF(AND(B21="SELL",D21&gt;0,E21&gt;0),(D21/E21)+G21,0)</f>
        <v/>
      </c>
      <c r="R21" s="55">
        <f>IF(B21="SELL",Q21*F21,0)</f>
        <v/>
      </c>
      <c r="S21" s="35">
        <f>S20+R21</f>
        <v/>
      </c>
    </row>
    <row r="22" ht="15.75" customHeight="1" s="94">
      <c r="A22" s="36" t="n">
        <v>21</v>
      </c>
      <c r="B22" s="37" t="inlineStr">
        <is>
          <t>SELL</t>
        </is>
      </c>
      <c r="C22" s="38" t="n">
        <v>45996</v>
      </c>
      <c r="D22" s="39" t="n">
        <v>158000</v>
      </c>
      <c r="E22" s="40" t="n">
        <v>924.5</v>
      </c>
      <c r="F22" s="40" t="n">
        <v>924.5</v>
      </c>
      <c r="G22" s="41" t="n">
        <v>-161.39</v>
      </c>
      <c r="H22" s="41" t="n"/>
      <c r="I22" s="19" t="n">
        <v>1544.18</v>
      </c>
      <c r="J22" s="41" t="n">
        <v>417.2</v>
      </c>
      <c r="K22" s="42">
        <f>IF(AND(B22="SELL",E22&gt;0,J22&lt;&gt;""),J22/E22,0)</f>
        <v/>
      </c>
      <c r="L22" s="42" t="n">
        <v>0.426</v>
      </c>
      <c r="M22" s="40">
        <f>IF(AND(B22="SELL",L22&gt;0),D22*L22,0)</f>
        <v/>
      </c>
      <c r="N22" s="36" t="n"/>
      <c r="O22" s="43">
        <f>IF(AND(B22="SELL",G22&lt;&gt;0),Q22/ABS(G22),0)</f>
        <v/>
      </c>
      <c r="P22" s="43">
        <f>IF(AND(B22="SELL",D22&gt;0),R22/D22,0)</f>
        <v/>
      </c>
      <c r="Q22" s="44">
        <f>IF(AND(B22="SELL",D22&gt;0,E22&gt;0),(D22/E22)+G22,0)</f>
        <v/>
      </c>
      <c r="R22" s="45">
        <f>IF(B22="SELL",Q22*F22,0)</f>
        <v/>
      </c>
      <c r="S22" s="24">
        <f>S21+R22</f>
        <v/>
      </c>
    </row>
    <row r="23" ht="15.75" customHeight="1" s="94">
      <c r="A23" s="46" t="n">
        <v>22</v>
      </c>
      <c r="B23" s="47" t="inlineStr">
        <is>
          <t>SELL</t>
        </is>
      </c>
      <c r="C23" s="48" t="n">
        <v>45997</v>
      </c>
      <c r="D23" s="49" t="n">
        <v>70000</v>
      </c>
      <c r="E23" s="50" t="n">
        <v>924.5</v>
      </c>
      <c r="F23" s="50" t="n">
        <v>924.5</v>
      </c>
      <c r="G23" s="51" t="n">
        <v>-71.56</v>
      </c>
      <c r="H23" s="51" t="n"/>
      <c r="I23" s="30" t="n">
        <v>1472.62</v>
      </c>
      <c r="J23" s="51" t="n">
        <v>419.02</v>
      </c>
      <c r="K23" s="52">
        <f>IF(AND(B23="SELL",E23&gt;0,J23&lt;&gt;""),J23/E23,0)</f>
        <v/>
      </c>
      <c r="L23" s="52" t="n">
        <v>0.428</v>
      </c>
      <c r="M23" s="50">
        <f>IF(AND(B23="SELL",L23&gt;0),D23*L23,0)</f>
        <v/>
      </c>
      <c r="N23" s="46" t="n"/>
      <c r="O23" s="53">
        <f>IF(AND(B23="SELL",G23&lt;&gt;0),Q23/ABS(G23),0)</f>
        <v/>
      </c>
      <c r="P23" s="53">
        <f>IF(AND(B23="SELL",D23&gt;0),R23/D23,0)</f>
        <v/>
      </c>
      <c r="Q23" s="54">
        <f>IF(AND(B23="SELL",D23&gt;0,E23&gt;0),(D23/E23)+G23,0)</f>
        <v/>
      </c>
      <c r="R23" s="55">
        <f>IF(B23="SELL",Q23*F23,0)</f>
        <v/>
      </c>
      <c r="S23" s="35">
        <f>S22+R23</f>
        <v/>
      </c>
    </row>
    <row r="24" ht="15.75" customHeight="1" s="94">
      <c r="A24" s="36" t="n">
        <v>23</v>
      </c>
      <c r="B24" s="37" t="inlineStr">
        <is>
          <t>SELL</t>
        </is>
      </c>
      <c r="C24" s="38" t="n">
        <v>45997</v>
      </c>
      <c r="D24" s="39" t="n">
        <v>500000</v>
      </c>
      <c r="E24" s="40" t="n">
        <v>924.5</v>
      </c>
      <c r="F24" s="40" t="n">
        <v>924.5</v>
      </c>
      <c r="G24" s="41" t="n">
        <v>-511.78</v>
      </c>
      <c r="H24" s="41" t="n"/>
      <c r="I24" s="19" t="n">
        <v>960.84</v>
      </c>
      <c r="J24" s="41" t="n">
        <v>422.1</v>
      </c>
      <c r="K24" s="42">
        <f>IF(AND(B24="SELL",E24&gt;0,J24&lt;&gt;""),J24/E24,0)</f>
        <v/>
      </c>
      <c r="L24" s="42" t="n">
        <v>0.432</v>
      </c>
      <c r="M24" s="40">
        <f>IF(AND(B24="SELL",L24&gt;0),D24*L24,0)</f>
        <v/>
      </c>
      <c r="N24" s="36" t="n"/>
      <c r="O24" s="43">
        <f>IF(AND(B24="SELL",G24&lt;&gt;0),Q24/ABS(G24),0)</f>
        <v/>
      </c>
      <c r="P24" s="43">
        <f>IF(AND(B24="SELL",D24&gt;0),R24/D24,0)</f>
        <v/>
      </c>
      <c r="Q24" s="44">
        <f>IF(AND(B24="SELL",D24&gt;0,E24&gt;0),(D24/E24)+G24,0)</f>
        <v/>
      </c>
      <c r="R24" s="45">
        <f>IF(B24="SELL",Q24*F24,0)</f>
        <v/>
      </c>
      <c r="S24" s="24">
        <f>S23+R24</f>
        <v/>
      </c>
    </row>
    <row r="25" ht="15.75" customHeight="1" s="94">
      <c r="A25" s="46" t="n">
        <v>24</v>
      </c>
      <c r="B25" s="47" t="inlineStr">
        <is>
          <t>SELL</t>
        </is>
      </c>
      <c r="C25" s="48" t="n">
        <v>45997</v>
      </c>
      <c r="D25" s="49" t="n">
        <v>250000</v>
      </c>
      <c r="E25" s="50" t="n">
        <v>924.5</v>
      </c>
      <c r="F25" s="50" t="n">
        <v>924.5</v>
      </c>
      <c r="G25" s="51" t="n">
        <v>-254.95</v>
      </c>
      <c r="H25" s="51" t="n"/>
      <c r="I25" s="30" t="n">
        <v>705.89</v>
      </c>
      <c r="J25" s="51" t="n">
        <v>423.701</v>
      </c>
      <c r="K25" s="52">
        <f>IF(AND(B25="SELL",E25&gt;0,J25&lt;&gt;""),J25/E25,0)</f>
        <v/>
      </c>
      <c r="L25" s="52" t="n">
        <v>0.432</v>
      </c>
      <c r="M25" s="50">
        <f>IF(AND(B25="SELL",L25&gt;0),D25*L25,0)</f>
        <v/>
      </c>
      <c r="N25" s="46" t="n"/>
      <c r="O25" s="53">
        <f>IF(AND(B25="SELL",G25&lt;&gt;0),Q25/ABS(G25),0)</f>
        <v/>
      </c>
      <c r="P25" s="53">
        <f>IF(AND(B25="SELL",D25&gt;0),R25/D25,0)</f>
        <v/>
      </c>
      <c r="Q25" s="54">
        <f>IF(AND(B25="SELL",D25&gt;0,E25&gt;0),(D25/E25)+G25,0)</f>
        <v/>
      </c>
      <c r="R25" s="55">
        <f>IF(B25="SELL",Q25*F25,0)</f>
        <v/>
      </c>
      <c r="S25" s="35">
        <f>S24+R25</f>
        <v/>
      </c>
    </row>
    <row r="26" ht="15.75" customHeight="1" s="94">
      <c r="A26" s="36" t="n">
        <v>25</v>
      </c>
      <c r="B26" s="37" t="inlineStr">
        <is>
          <t>SELL</t>
        </is>
      </c>
      <c r="C26" s="38" t="n">
        <v>45997</v>
      </c>
      <c r="D26" s="39" t="n">
        <v>60000</v>
      </c>
      <c r="E26" s="40" t="n">
        <v>924.5</v>
      </c>
      <c r="F26" s="40" t="n">
        <v>924.5</v>
      </c>
      <c r="G26" s="41" t="n">
        <v>-61.66</v>
      </c>
      <c r="H26" s="41" t="n"/>
      <c r="I26" s="19" t="n">
        <v>644.23</v>
      </c>
      <c r="J26" s="41" t="n">
        <v>416.82</v>
      </c>
      <c r="K26" s="42">
        <f>IF(AND(B26="SELL",E26&gt;0,J26&lt;&gt;""),J26/E26,0)</f>
        <v/>
      </c>
      <c r="L26" s="42" t="n">
        <v>0.428</v>
      </c>
      <c r="M26" s="40">
        <f>IF(AND(B26="SELL",L26&gt;0),D26*L26,0)</f>
        <v/>
      </c>
      <c r="N26" s="36" t="n"/>
      <c r="O26" s="43">
        <f>IF(AND(B26="SELL",G26&lt;&gt;0),Q26/ABS(G26),0)</f>
        <v/>
      </c>
      <c r="P26" s="43">
        <f>IF(AND(B26="SELL",D26&gt;0),R26/D26,0)</f>
        <v/>
      </c>
      <c r="Q26" s="44">
        <f>IF(AND(B26="SELL",D26&gt;0,E26&gt;0),(D26/E26)+G26,0)</f>
        <v/>
      </c>
      <c r="R26" s="45">
        <f>IF(B26="SELL",Q26*F26,0)</f>
        <v/>
      </c>
      <c r="S26" s="24">
        <f>S25+R26</f>
        <v/>
      </c>
    </row>
    <row r="27" ht="15.75" customHeight="1" s="94">
      <c r="A27" s="46" t="n">
        <v>26</v>
      </c>
      <c r="B27" s="47" t="inlineStr">
        <is>
          <t>SELL</t>
        </is>
      </c>
      <c r="C27" s="48" t="n">
        <v>45997</v>
      </c>
      <c r="D27" s="49" t="n">
        <v>20000</v>
      </c>
      <c r="E27" s="50" t="n">
        <v>924.5</v>
      </c>
      <c r="F27" s="50" t="n">
        <v>924.5</v>
      </c>
      <c r="G27" s="51" t="n">
        <v>-20.68</v>
      </c>
      <c r="H27" s="51" t="n"/>
      <c r="I27" s="30" t="n">
        <v>623.55</v>
      </c>
      <c r="J27" s="51" t="n">
        <v>415</v>
      </c>
      <c r="K27" s="52">
        <f>IF(AND(B27="SELL",E27&gt;0,J27&lt;&gt;""),J27/E27,0)</f>
        <v/>
      </c>
      <c r="L27" s="52" t="n">
        <v>0.428</v>
      </c>
      <c r="M27" s="50">
        <f>IF(AND(B27="SELL",L27&gt;0),D27*L27,0)</f>
        <v/>
      </c>
      <c r="N27" s="46" t="n"/>
      <c r="O27" s="53">
        <f>IF(AND(B27="SELL",G27&lt;&gt;0),Q27/ABS(G27),0)</f>
        <v/>
      </c>
      <c r="P27" s="53">
        <f>IF(AND(B27="SELL",D27&gt;0),R27/D27,0)</f>
        <v/>
      </c>
      <c r="Q27" s="54">
        <f>IF(AND(B27="SELL",D27&gt;0,E27&gt;0),(D27/E27)+G27,0)</f>
        <v/>
      </c>
      <c r="R27" s="55">
        <f>IF(B27="SELL",Q27*F27,0)</f>
        <v/>
      </c>
      <c r="S27" s="35">
        <f>S26+R27</f>
        <v/>
      </c>
    </row>
    <row r="28" ht="15.75" customHeight="1" s="94">
      <c r="A28" s="36" t="n">
        <v>27</v>
      </c>
      <c r="B28" s="37" t="inlineStr">
        <is>
          <t>SELL</t>
        </is>
      </c>
      <c r="C28" s="38" t="n">
        <v>45997</v>
      </c>
      <c r="D28" s="39" t="n">
        <v>50000</v>
      </c>
      <c r="E28" s="40" t="n">
        <v>924.5</v>
      </c>
      <c r="F28" s="40" t="n">
        <v>924.5</v>
      </c>
      <c r="G28" s="41" t="n">
        <v>-51.24</v>
      </c>
      <c r="H28" s="41" t="n"/>
      <c r="I28" s="19" t="n">
        <v>572.3099999999999</v>
      </c>
      <c r="J28" s="41" t="n">
        <v>418.1</v>
      </c>
      <c r="K28" s="42">
        <f>IF(AND(B28="SELL",E28&gt;0,J28&lt;&gt;""),J28/E28,0)</f>
        <v/>
      </c>
      <c r="L28" s="42" t="n">
        <v>0.428</v>
      </c>
      <c r="M28" s="40">
        <f>IF(AND(B28="SELL",L28&gt;0),D28*L28,0)</f>
        <v/>
      </c>
      <c r="N28" s="36" t="n"/>
      <c r="O28" s="43">
        <f>IF(AND(B28="SELL",G28&lt;&gt;0),Q28/ABS(G28),0)</f>
        <v/>
      </c>
      <c r="P28" s="43">
        <f>IF(AND(B28="SELL",D28&gt;0),R28/D28,0)</f>
        <v/>
      </c>
      <c r="Q28" s="44">
        <f>IF(AND(B28="SELL",D28&gt;0,E28&gt;0),(D28/E28)+G28,0)</f>
        <v/>
      </c>
      <c r="R28" s="45">
        <f>IF(B28="SELL",Q28*F28,0)</f>
        <v/>
      </c>
      <c r="S28" s="24">
        <f>S27+R28</f>
        <v/>
      </c>
    </row>
    <row r="29" ht="15.75" customHeight="1" s="94">
      <c r="A29" s="46" t="n">
        <v>28</v>
      </c>
      <c r="B29" s="47" t="inlineStr">
        <is>
          <t>SELL</t>
        </is>
      </c>
      <c r="C29" s="48" t="n">
        <v>45997</v>
      </c>
      <c r="D29" s="49" t="n">
        <v>100000</v>
      </c>
      <c r="E29" s="50" t="n">
        <v>924.5</v>
      </c>
      <c r="F29" s="50" t="n">
        <v>924.5</v>
      </c>
      <c r="G29" s="51" t="n">
        <v>-101.99</v>
      </c>
      <c r="H29" s="51" t="n"/>
      <c r="I29" s="30" t="n">
        <v>470.32</v>
      </c>
      <c r="J29" s="51" t="n">
        <v>419.88</v>
      </c>
      <c r="K29" s="52">
        <f>IF(AND(B29="SELL",E29&gt;0,J29&lt;&gt;""),J29/E29,0)</f>
        <v/>
      </c>
      <c r="L29" s="52" t="n">
        <v>0.428</v>
      </c>
      <c r="M29" s="50">
        <f>IF(AND(B29="SELL",L29&gt;0),D29*L29,0)</f>
        <v/>
      </c>
      <c r="N29" s="46" t="n"/>
      <c r="O29" s="53">
        <f>IF(AND(B29="SELL",G29&lt;&gt;0),Q29/ABS(G29),0)</f>
        <v/>
      </c>
      <c r="P29" s="53">
        <f>IF(AND(B29="SELL",D29&gt;0),R29/D29,0)</f>
        <v/>
      </c>
      <c r="Q29" s="54">
        <f>IF(AND(B29="SELL",D29&gt;0,E29&gt;0),(D29/E29)+G29,0)</f>
        <v/>
      </c>
      <c r="R29" s="55">
        <f>IF(B29="SELL",Q29*F29,0)</f>
        <v/>
      </c>
      <c r="S29" s="35">
        <f>S28+R29</f>
        <v/>
      </c>
    </row>
    <row r="30" ht="15.75" customHeight="1" s="94">
      <c r="A30" s="36" t="n">
        <v>29</v>
      </c>
      <c r="B30" s="37" t="inlineStr">
        <is>
          <t>SELL</t>
        </is>
      </c>
      <c r="C30" s="38" t="n">
        <v>45997</v>
      </c>
      <c r="D30" s="39" t="n">
        <v>20000</v>
      </c>
      <c r="E30" s="40" t="n">
        <v>924.5</v>
      </c>
      <c r="F30" s="40" t="n">
        <v>924.5</v>
      </c>
      <c r="G30" s="41" t="n">
        <v>-20.73</v>
      </c>
      <c r="H30" s="41" t="n"/>
      <c r="I30" s="19" t="n">
        <v>449.59</v>
      </c>
      <c r="J30" s="41" t="n">
        <v>414.7</v>
      </c>
      <c r="K30" s="42">
        <f>IF(AND(B30="SELL",E30&gt;0,J30&lt;&gt;""),J30/E30,0)</f>
        <v/>
      </c>
      <c r="L30" s="42" t="n">
        <v>0.428</v>
      </c>
      <c r="M30" s="40">
        <f>IF(AND(B30="SELL",L30&gt;0),D30*L30,0)</f>
        <v/>
      </c>
      <c r="N30" s="36" t="n"/>
      <c r="O30" s="43">
        <f>IF(AND(B30="SELL",G30&lt;&gt;0),Q30/ABS(G30),0)</f>
        <v/>
      </c>
      <c r="P30" s="43">
        <f>IF(AND(B30="SELL",D30&gt;0),R30/D30,0)</f>
        <v/>
      </c>
      <c r="Q30" s="44">
        <f>IF(AND(B30="SELL",D30&gt;0,E30&gt;0),(D30/E30)+G30,0)</f>
        <v/>
      </c>
      <c r="R30" s="45">
        <f>IF(B30="SELL",Q30*F30,0)</f>
        <v/>
      </c>
      <c r="S30" s="24">
        <f>S29+R30</f>
        <v/>
      </c>
    </row>
    <row r="31" ht="15.75" customHeight="1" s="94">
      <c r="A31" s="46" t="n">
        <v>30</v>
      </c>
      <c r="B31" s="47" t="inlineStr">
        <is>
          <t>SELL</t>
        </is>
      </c>
      <c r="C31" s="48" t="n">
        <v>45998</v>
      </c>
      <c r="D31" s="49" t="n">
        <v>20000</v>
      </c>
      <c r="E31" s="50" t="n">
        <v>924.5</v>
      </c>
      <c r="F31" s="50" t="n">
        <v>924.5</v>
      </c>
      <c r="G31" s="51" t="n">
        <v>-20.49</v>
      </c>
      <c r="H31" s="51" t="n"/>
      <c r="I31" s="30" t="n">
        <v>429.1</v>
      </c>
      <c r="J31" s="51" t="n">
        <v>416</v>
      </c>
      <c r="K31" s="52">
        <f>IF(AND(B31="SELL",E31&gt;0,J31&lt;&gt;""),J31/E31,0)</f>
        <v/>
      </c>
      <c r="L31" s="52" t="n">
        <v>0.425</v>
      </c>
      <c r="M31" s="50">
        <f>IF(AND(B31="SELL",L31&gt;0),D31*L31,0)</f>
        <v/>
      </c>
      <c r="N31" s="46" t="n"/>
      <c r="O31" s="53">
        <f>IF(AND(B31="SELL",G31&lt;&gt;0),Q31/ABS(G31),0)</f>
        <v/>
      </c>
      <c r="P31" s="53">
        <f>IF(AND(B31="SELL",D31&gt;0),R31/D31,0)</f>
        <v/>
      </c>
      <c r="Q31" s="54">
        <f>IF(AND(B31="SELL",D31&gt;0,E31&gt;0),(D31/E31)+G31,0)</f>
        <v/>
      </c>
      <c r="R31" s="55">
        <f>IF(B31="SELL",Q31*F31,0)</f>
        <v/>
      </c>
      <c r="S31" s="35">
        <f>S30+R31</f>
        <v/>
      </c>
    </row>
    <row r="32" ht="15.75" customHeight="1" s="94">
      <c r="A32" s="36" t="n">
        <v>31</v>
      </c>
      <c r="B32" s="37" t="inlineStr">
        <is>
          <t>SELL</t>
        </is>
      </c>
      <c r="C32" s="38" t="n">
        <v>45998</v>
      </c>
      <c r="D32" s="39" t="n">
        <v>100000</v>
      </c>
      <c r="E32" s="40" t="n">
        <v>924.5</v>
      </c>
      <c r="F32" s="40" t="n">
        <v>924.5</v>
      </c>
      <c r="G32" s="41" t="n">
        <v>-102.14</v>
      </c>
      <c r="H32" s="41" t="n"/>
      <c r="I32" s="19" t="n">
        <v>326.96</v>
      </c>
      <c r="J32" s="41" t="n">
        <v>416.339</v>
      </c>
      <c r="K32" s="42">
        <f>IF(AND(B32="SELL",E32&gt;0,J32&lt;&gt;""),J32/E32,0)</f>
        <v/>
      </c>
      <c r="L32" s="42" t="n">
        <v>0.425</v>
      </c>
      <c r="M32" s="40">
        <f>IF(AND(B32="SELL",L32&gt;0),D32*L32,0)</f>
        <v/>
      </c>
      <c r="N32" s="36" t="n"/>
      <c r="O32" s="43">
        <f>IF(AND(B32="SELL",G32&lt;&gt;0),Q32/ABS(G32),0)</f>
        <v/>
      </c>
      <c r="P32" s="43">
        <f>IF(AND(B32="SELL",D32&gt;0),R32/D32,0)</f>
        <v/>
      </c>
      <c r="Q32" s="44">
        <f>IF(AND(B32="SELL",D32&gt;0,E32&gt;0),(D32/E32)+G32,0)</f>
        <v/>
      </c>
      <c r="R32" s="45">
        <f>IF(B32="SELL",Q32*F32,0)</f>
        <v/>
      </c>
      <c r="S32" s="24">
        <f>S31+R32</f>
        <v/>
      </c>
    </row>
    <row r="33" ht="15.75" customHeight="1" s="94">
      <c r="A33" s="46" t="n">
        <v>32</v>
      </c>
      <c r="B33" s="47" t="inlineStr">
        <is>
          <t>SELL</t>
        </is>
      </c>
      <c r="C33" s="48" t="n">
        <v>45998</v>
      </c>
      <c r="D33" s="49" t="n">
        <v>90000</v>
      </c>
      <c r="E33" s="50" t="n">
        <v>924.5</v>
      </c>
      <c r="F33" s="50" t="n">
        <v>924.5</v>
      </c>
      <c r="G33" s="51" t="n">
        <v>-92.14</v>
      </c>
      <c r="H33" s="51" t="n"/>
      <c r="I33" s="30" t="n">
        <v>234.82</v>
      </c>
      <c r="J33" s="51" t="n">
        <v>415.359</v>
      </c>
      <c r="K33" s="52">
        <f>IF(AND(B33="SELL",E33&gt;0,J33&lt;&gt;""),J33/E33,0)</f>
        <v/>
      </c>
      <c r="L33" s="52" t="n">
        <v>0.425</v>
      </c>
      <c r="M33" s="50">
        <f>IF(AND(B33="SELL",L33&gt;0),D33*L33,0)</f>
        <v/>
      </c>
      <c r="N33" s="46" t="n"/>
      <c r="O33" s="53">
        <f>IF(AND(B33="SELL",G33&lt;&gt;0),Q33/ABS(G33),0)</f>
        <v/>
      </c>
      <c r="P33" s="53">
        <f>IF(AND(B33="SELL",D33&gt;0),R33/D33,0)</f>
        <v/>
      </c>
      <c r="Q33" s="54">
        <f>IF(AND(B33="SELL",D33&gt;0,E33&gt;0),(D33/E33)+G33,0)</f>
        <v/>
      </c>
      <c r="R33" s="55">
        <f>IF(B33="SELL",Q33*F33,0)</f>
        <v/>
      </c>
      <c r="S33" s="35">
        <f>S32+R33</f>
        <v/>
      </c>
    </row>
    <row r="34" ht="15.75" customHeight="1" s="94">
      <c r="A34" s="36" t="n">
        <v>33</v>
      </c>
      <c r="B34" s="37" t="inlineStr">
        <is>
          <t>SELL</t>
        </is>
      </c>
      <c r="C34" s="38" t="n">
        <v>45998</v>
      </c>
      <c r="D34" s="39" t="n">
        <v>15000</v>
      </c>
      <c r="E34" s="40" t="n">
        <v>924.5</v>
      </c>
      <c r="F34" s="40" t="n">
        <v>924.5</v>
      </c>
      <c r="G34" s="41" t="n">
        <v>-15.55</v>
      </c>
      <c r="H34" s="41" t="n"/>
      <c r="I34" s="19" t="n">
        <v>219.27</v>
      </c>
      <c r="J34" s="41" t="n">
        <v>411.5</v>
      </c>
      <c r="K34" s="42">
        <f>IF(AND(B34="SELL",E34&gt;0,J34&lt;&gt;""),J34/E34,0)</f>
        <v/>
      </c>
      <c r="L34" s="42" t="n">
        <v>0.425</v>
      </c>
      <c r="M34" s="40">
        <f>IF(AND(B34="SELL",L34&gt;0),D34*L34,0)</f>
        <v/>
      </c>
      <c r="N34" s="36" t="n"/>
      <c r="O34" s="43">
        <f>IF(AND(B34="SELL",G34&lt;&gt;0),Q34/ABS(G34),0)</f>
        <v/>
      </c>
      <c r="P34" s="43">
        <f>IF(AND(B34="SELL",D34&gt;0),R34/D34,0)</f>
        <v/>
      </c>
      <c r="Q34" s="44">
        <f>IF(AND(B34="SELL",D34&gt;0,E34&gt;0),(D34/E34)+G34,0)</f>
        <v/>
      </c>
      <c r="R34" s="45">
        <f>IF(B34="SELL",Q34*F34,0)</f>
        <v/>
      </c>
      <c r="S34" s="24">
        <f>S33+R34</f>
        <v/>
      </c>
    </row>
    <row r="35" ht="15.75" customHeight="1" s="94">
      <c r="A35" s="46" t="n">
        <v>34</v>
      </c>
      <c r="B35" s="47" t="inlineStr">
        <is>
          <t>SELL</t>
        </is>
      </c>
      <c r="C35" s="48" t="n">
        <v>45999</v>
      </c>
      <c r="D35" s="49" t="n">
        <v>20000</v>
      </c>
      <c r="E35" s="50" t="n">
        <v>924.5</v>
      </c>
      <c r="F35" s="50" t="n">
        <v>924.5</v>
      </c>
      <c r="G35" s="51" t="n">
        <v>-20.41</v>
      </c>
      <c r="H35" s="51" t="n"/>
      <c r="I35" s="30" t="n">
        <v>198.86</v>
      </c>
      <c r="J35" s="51" t="n">
        <v>412.575</v>
      </c>
      <c r="K35" s="52">
        <f>IF(AND(B35="SELL",E35&gt;0,J35&lt;&gt;""),J35/E35,0)</f>
        <v/>
      </c>
      <c r="L35" s="52" t="n">
        <v>0.42</v>
      </c>
      <c r="M35" s="50">
        <f>IF(AND(B35="SELL",L35&gt;0),D35*L35,0)</f>
        <v/>
      </c>
      <c r="N35" s="46" t="n"/>
      <c r="O35" s="53">
        <f>IF(AND(B35="SELL",G35&lt;&gt;0),Q35/ABS(G35),0)</f>
        <v/>
      </c>
      <c r="P35" s="53">
        <f>IF(AND(B35="SELL",D35&gt;0),R35/D35,0)</f>
        <v/>
      </c>
      <c r="Q35" s="54">
        <f>IF(AND(B35="SELL",D35&gt;0,E35&gt;0),(D35/E35)+G35,0)</f>
        <v/>
      </c>
      <c r="R35" s="55">
        <f>IF(B35="SELL",Q35*F35,0)</f>
        <v/>
      </c>
      <c r="S35" s="35">
        <f>S34+R35</f>
        <v/>
      </c>
    </row>
    <row r="36" ht="15.75" customHeight="1" s="94">
      <c r="A36" s="14" t="n">
        <v>35</v>
      </c>
      <c r="B36" s="15" t="inlineStr">
        <is>
          <t>BUY</t>
        </is>
      </c>
      <c r="C36" s="16" t="n">
        <v>45999</v>
      </c>
      <c r="D36" s="17" t="n">
        <v>200000</v>
      </c>
      <c r="E36" s="18" t="n">
        <v>940.97</v>
      </c>
      <c r="F36" s="18" t="n">
        <v>940.97</v>
      </c>
      <c r="G36" s="19" t="n">
        <v>212.47</v>
      </c>
      <c r="H36" s="19" t="n"/>
      <c r="I36" s="19" t="n">
        <v>411.33</v>
      </c>
      <c r="J36" s="19" t="n"/>
      <c r="K36" s="20">
        <f>IF(AND(B36="SELL",E36&gt;0,J36&lt;&gt;""),J36/E36,0)</f>
        <v/>
      </c>
      <c r="L36" s="20" t="n">
        <v>0</v>
      </c>
      <c r="M36" s="18">
        <f>IF(AND(B36="SELL",L36&gt;0),D36*L36,0)</f>
        <v/>
      </c>
      <c r="N36" s="14" t="n"/>
      <c r="O36" s="21">
        <f>IF(AND(B36="SELL",G36&lt;&gt;0),Q36/ABS(G36),0)</f>
        <v/>
      </c>
      <c r="P36" s="21">
        <f>IF(AND(B36="SELL",D36&gt;0),R36/D36,0)</f>
        <v/>
      </c>
      <c r="Q36" s="22">
        <f>IF(AND(B36="SELL",D36&gt;0,E36&gt;0),(D36/E36)+G36,0)</f>
        <v/>
      </c>
      <c r="R36" s="23">
        <f>IF(B36="SELL",Q36*F36,0)</f>
        <v/>
      </c>
      <c r="S36" s="24">
        <f>S35+R36</f>
        <v/>
      </c>
    </row>
    <row r="37" ht="15.75" customHeight="1" s="94">
      <c r="A37" s="46" t="n">
        <v>36</v>
      </c>
      <c r="B37" s="47" t="inlineStr">
        <is>
          <t>SELL</t>
        </is>
      </c>
      <c r="C37" s="48" t="n">
        <v>45999</v>
      </c>
      <c r="D37" s="49" t="n">
        <v>250000</v>
      </c>
      <c r="E37" s="50" t="n">
        <v>940.97</v>
      </c>
      <c r="F37" s="50" t="n">
        <v>940.97</v>
      </c>
      <c r="G37" s="51" t="n">
        <v>-250.92</v>
      </c>
      <c r="H37" s="51" t="n"/>
      <c r="I37" s="30" t="n">
        <v>160.41</v>
      </c>
      <c r="J37" s="51" t="n">
        <v>419.702</v>
      </c>
      <c r="K37" s="52">
        <f>IF(AND(B37="SELL",E37&gt;0,J37&lt;&gt;""),J37/E37,0)</f>
        <v/>
      </c>
      <c r="L37" s="52" t="n">
        <v>0.421</v>
      </c>
      <c r="M37" s="50">
        <f>IF(AND(B37="SELL",L37&gt;0),D37*L37,0)</f>
        <v/>
      </c>
      <c r="N37" s="46" t="n"/>
      <c r="O37" s="53">
        <f>IF(AND(B37="SELL",G37&lt;&gt;0),Q37/ABS(G37),0)</f>
        <v/>
      </c>
      <c r="P37" s="53">
        <f>IF(AND(B37="SELL",D37&gt;0),R37/D37,0)</f>
        <v/>
      </c>
      <c r="Q37" s="54">
        <f>IF(AND(B37="SELL",D37&gt;0,E37&gt;0),(D37/E37)+G37,0)</f>
        <v/>
      </c>
      <c r="R37" s="55">
        <f>IF(B37="SELL",Q37*F37,0)</f>
        <v/>
      </c>
      <c r="S37" s="35">
        <f>S36+R37</f>
        <v/>
      </c>
    </row>
    <row r="38" ht="15.75" customHeight="1" s="94">
      <c r="A38" s="36" t="n">
        <v>37</v>
      </c>
      <c r="B38" s="37" t="inlineStr">
        <is>
          <t>SELL</t>
        </is>
      </c>
      <c r="C38" s="38" t="n">
        <v>46000</v>
      </c>
      <c r="D38" s="39" t="n">
        <v>10000</v>
      </c>
      <c r="E38" s="40" t="n">
        <v>940.97</v>
      </c>
      <c r="F38" s="40" t="n">
        <v>940.97</v>
      </c>
      <c r="G38" s="41" t="n">
        <v>-10.32</v>
      </c>
      <c r="H38" s="41" t="n"/>
      <c r="I38" s="19" t="n">
        <v>150.09</v>
      </c>
      <c r="J38" s="41" t="n">
        <v>410</v>
      </c>
      <c r="K38" s="42">
        <f>IF(AND(B38="SELL",E38&gt;0,J38&lt;&gt;""),J38/E38,0)</f>
        <v/>
      </c>
      <c r="L38" s="42" t="n">
        <v>0.421</v>
      </c>
      <c r="M38" s="40">
        <f>IF(AND(B38="SELL",L38&gt;0),D38*L38,0)</f>
        <v/>
      </c>
      <c r="N38" s="36" t="n"/>
      <c r="O38" s="43">
        <f>IF(AND(B38="SELL",G38&lt;&gt;0),Q38/ABS(G38),0)</f>
        <v/>
      </c>
      <c r="P38" s="43">
        <f>IF(AND(B38="SELL",D38&gt;0),R38/D38,0)</f>
        <v/>
      </c>
      <c r="Q38" s="44">
        <f>IF(AND(B38="SELL",D38&gt;0,E38&gt;0),(D38/E38)+G38,0)</f>
        <v/>
      </c>
      <c r="R38" s="45">
        <f>IF(B38="SELL",Q38*F38,0)</f>
        <v/>
      </c>
      <c r="S38" s="24">
        <f>S37+R38</f>
        <v/>
      </c>
    </row>
    <row r="39" ht="15.75" customHeight="1" s="94">
      <c r="A39" s="46" t="n">
        <v>38</v>
      </c>
      <c r="B39" s="47" t="inlineStr">
        <is>
          <t>SELL</t>
        </is>
      </c>
      <c r="C39" s="48" t="n">
        <v>46000</v>
      </c>
      <c r="D39" s="49" t="n">
        <v>37000</v>
      </c>
      <c r="E39" s="50" t="n">
        <v>940.97</v>
      </c>
      <c r="F39" s="50" t="n">
        <v>940.97</v>
      </c>
      <c r="G39" s="51" t="n">
        <v>-37.66</v>
      </c>
      <c r="H39" s="51" t="n"/>
      <c r="I39" s="30" t="n">
        <v>112.43</v>
      </c>
      <c r="J39" s="51" t="n">
        <v>414.2</v>
      </c>
      <c r="K39" s="52">
        <f>IF(AND(B39="SELL",E39&gt;0,J39&lt;&gt;""),J39/E39,0)</f>
        <v/>
      </c>
      <c r="L39" s="52" t="n">
        <v>0.421</v>
      </c>
      <c r="M39" s="50">
        <f>IF(AND(B39="SELL",L39&gt;0),D39*L39,0)</f>
        <v/>
      </c>
      <c r="N39" s="46" t="n"/>
      <c r="O39" s="53">
        <f>IF(AND(B39="SELL",G39&lt;&gt;0),Q39/ABS(G39),0)</f>
        <v/>
      </c>
      <c r="P39" s="53">
        <f>IF(AND(B39="SELL",D39&gt;0),R39/D39,0)</f>
        <v/>
      </c>
      <c r="Q39" s="54">
        <f>IF(AND(B39="SELL",D39&gt;0,E39&gt;0),(D39/E39)+G39,0)</f>
        <v/>
      </c>
      <c r="R39" s="55">
        <f>IF(B39="SELL",Q39*F39,0)</f>
        <v/>
      </c>
      <c r="S39" s="35">
        <f>S38+R39</f>
        <v/>
      </c>
    </row>
    <row r="40" ht="15.75" customHeight="1" s="94">
      <c r="A40" s="36" t="n">
        <v>39</v>
      </c>
      <c r="B40" s="37" t="inlineStr">
        <is>
          <t>SELL</t>
        </is>
      </c>
      <c r="C40" s="38" t="n">
        <v>46000</v>
      </c>
      <c r="D40" s="39" t="n">
        <v>25000</v>
      </c>
      <c r="E40" s="40" t="n">
        <v>940.97</v>
      </c>
      <c r="F40" s="40" t="n">
        <v>940.97</v>
      </c>
      <c r="G40" s="41" t="n">
        <v>-25.22</v>
      </c>
      <c r="H40" s="41" t="n"/>
      <c r="I40" s="19" t="n">
        <v>87.21000000000041</v>
      </c>
      <c r="J40" s="41" t="n">
        <v>418.322</v>
      </c>
      <c r="K40" s="42">
        <f>IF(AND(B40="SELL",E40&gt;0,J40&lt;&gt;""),J40/E40,0)</f>
        <v/>
      </c>
      <c r="L40" s="42" t="n">
        <v>0.421</v>
      </c>
      <c r="M40" s="40">
        <f>IF(AND(B40="SELL",L40&gt;0),D40*L40,0)</f>
        <v/>
      </c>
      <c r="N40" s="36" t="n"/>
      <c r="O40" s="43">
        <f>IF(AND(B40="SELL",G40&lt;&gt;0),Q40/ABS(G40),0)</f>
        <v/>
      </c>
      <c r="P40" s="43">
        <f>IF(AND(B40="SELL",D40&gt;0),R40/D40,0)</f>
        <v/>
      </c>
      <c r="Q40" s="44">
        <f>IF(AND(B40="SELL",D40&gt;0,E40&gt;0),(D40/E40)+G40,0)</f>
        <v/>
      </c>
      <c r="R40" s="45">
        <f>IF(B40="SELL",Q40*F40,0)</f>
        <v/>
      </c>
      <c r="S40" s="24">
        <f>S39+R40</f>
        <v/>
      </c>
    </row>
    <row r="41" ht="15.75" customHeight="1" s="94">
      <c r="A41" s="46" t="n">
        <v>40</v>
      </c>
      <c r="B41" s="47" t="inlineStr">
        <is>
          <t>SELL</t>
        </is>
      </c>
      <c r="C41" s="48" t="n">
        <v>46000</v>
      </c>
      <c r="D41" s="49" t="n">
        <v>55000</v>
      </c>
      <c r="E41" s="50" t="n">
        <v>940.97</v>
      </c>
      <c r="F41" s="50" t="n">
        <v>940.97</v>
      </c>
      <c r="G41" s="51" t="n">
        <v>-56.56</v>
      </c>
      <c r="H41" s="51" t="n"/>
      <c r="I41" s="30" t="n">
        <v>30.6500000000004</v>
      </c>
      <c r="J41" s="51" t="n">
        <v>416.7</v>
      </c>
      <c r="K41" s="52">
        <f>IF(AND(B41="SELL",E41&gt;0,J41&lt;&gt;""),J41/E41,0)</f>
        <v/>
      </c>
      <c r="L41" s="52" t="n">
        <v>0.421</v>
      </c>
      <c r="M41" s="50">
        <f>IF(AND(B41="SELL",L41&gt;0),D41*L41,0)</f>
        <v/>
      </c>
      <c r="N41" s="46" t="n"/>
      <c r="O41" s="53">
        <f>IF(AND(B41="SELL",G41&lt;&gt;0),Q41/ABS(G41),0)</f>
        <v/>
      </c>
      <c r="P41" s="53">
        <f>IF(AND(B41="SELL",D41&gt;0),R41/D41,0)</f>
        <v/>
      </c>
      <c r="Q41" s="54">
        <f>IF(AND(B41="SELL",D41&gt;0,E41&gt;0),(D41/E41)+G41,0)</f>
        <v/>
      </c>
      <c r="R41" s="55">
        <f>IF(B41="SELL",Q41*F41,0)</f>
        <v/>
      </c>
      <c r="S41" s="35">
        <f>S40+R41</f>
        <v/>
      </c>
    </row>
    <row r="42" ht="15.75" customHeight="1" s="94">
      <c r="A42" s="14" t="n">
        <v>41</v>
      </c>
      <c r="B42" s="15" t="inlineStr">
        <is>
          <t>BUY</t>
        </is>
      </c>
      <c r="C42" s="16" t="n">
        <v>46000</v>
      </c>
      <c r="D42" s="17" t="n">
        <v>1969000</v>
      </c>
      <c r="E42" s="18" t="n">
        <v>931.89</v>
      </c>
      <c r="F42" s="18" t="n">
        <v>931.89</v>
      </c>
      <c r="G42" s="19" t="n">
        <v>2112.84</v>
      </c>
      <c r="H42" s="19" t="n"/>
      <c r="I42" s="19" t="n">
        <v>2143.49</v>
      </c>
      <c r="J42" s="19" t="n"/>
      <c r="K42" s="20">
        <f>IF(AND(B42="SELL",E42&gt;0,J42&lt;&gt;""),J42/E42,0)</f>
        <v/>
      </c>
      <c r="L42" s="20" t="n"/>
      <c r="M42" s="18">
        <f>IF(AND(B42="SELL",L42&gt;0),D42*L42,0)</f>
        <v/>
      </c>
      <c r="N42" s="14" t="n"/>
      <c r="O42" s="21">
        <f>IF(AND(B42="SELL",G42&lt;&gt;0),Q42/ABS(G42),0)</f>
        <v/>
      </c>
      <c r="P42" s="21">
        <f>IF(AND(B42="SELL",D42&gt;0),R42/D42,0)</f>
        <v/>
      </c>
      <c r="Q42" s="22">
        <f>IF(AND(B42="SELL",D42&gt;0,E42&gt;0),(D42/E42)+G42,0)</f>
        <v/>
      </c>
      <c r="R42" s="23">
        <f>IF(B42="SELL",Q42*F42,0)</f>
        <v/>
      </c>
      <c r="S42" s="24">
        <f>S41+R42</f>
        <v/>
      </c>
    </row>
    <row r="43" ht="15.75" customHeight="1" s="94">
      <c r="A43" s="46" t="n">
        <v>42</v>
      </c>
      <c r="B43" s="47" t="inlineStr">
        <is>
          <t>SELL</t>
        </is>
      </c>
      <c r="C43" s="48" t="n">
        <v>46001</v>
      </c>
      <c r="D43" s="49" t="n">
        <v>15000</v>
      </c>
      <c r="E43" s="50" t="n">
        <v>931.89</v>
      </c>
      <c r="F43" s="50" t="n">
        <v>931.89</v>
      </c>
      <c r="G43" s="51" t="n">
        <v>-15.23</v>
      </c>
      <c r="H43" s="51" t="n"/>
      <c r="I43" s="30" t="n">
        <v>2128.26</v>
      </c>
      <c r="J43" s="51" t="n">
        <v>418.1</v>
      </c>
      <c r="K43" s="52">
        <f>IF(AND(B43="SELL",E43&gt;0,J43&lt;&gt;""),J43/E43,0)</f>
        <v/>
      </c>
      <c r="L43" s="52" t="n">
        <v>0.423</v>
      </c>
      <c r="M43" s="50">
        <f>IF(AND(B43="SELL",L43&gt;0),D43*L43,0)</f>
        <v/>
      </c>
      <c r="N43" s="46" t="n"/>
      <c r="O43" s="53">
        <f>IF(AND(B43="SELL",G43&lt;&gt;0),Q43/ABS(G43),0)</f>
        <v/>
      </c>
      <c r="P43" s="53">
        <f>IF(AND(B43="SELL",D43&gt;0),R43/D43,0)</f>
        <v/>
      </c>
      <c r="Q43" s="54">
        <f>IF(AND(B43="SELL",D43&gt;0,E43&gt;0),(D43/E43)+G43,0)</f>
        <v/>
      </c>
      <c r="R43" s="55">
        <f>IF(B43="SELL",Q43*F43,0)</f>
        <v/>
      </c>
      <c r="S43" s="35">
        <f>S42+R43</f>
        <v/>
      </c>
    </row>
    <row r="44" ht="15.75" customHeight="1" s="94">
      <c r="A44" s="36" t="n">
        <v>43</v>
      </c>
      <c r="B44" s="37" t="inlineStr">
        <is>
          <t>SELL</t>
        </is>
      </c>
      <c r="C44" s="38" t="n">
        <v>46001</v>
      </c>
      <c r="D44" s="39" t="n">
        <v>20000</v>
      </c>
      <c r="E44" s="40" t="n">
        <v>931.89</v>
      </c>
      <c r="F44" s="40" t="n">
        <v>931.89</v>
      </c>
      <c r="G44" s="41" t="n">
        <v>-20.08</v>
      </c>
      <c r="H44" s="41" t="n"/>
      <c r="I44" s="19" t="n">
        <v>2108.18</v>
      </c>
      <c r="J44" s="41" t="n">
        <v>422.505</v>
      </c>
      <c r="K44" s="42">
        <f>IF(AND(B44="SELL",E44&gt;0,J44&lt;&gt;""),J44/E44,0)</f>
        <v/>
      </c>
      <c r="L44" s="42" t="n">
        <v>0.423</v>
      </c>
      <c r="M44" s="40">
        <f>IF(AND(B44="SELL",L44&gt;0),D44*L44,0)</f>
        <v/>
      </c>
      <c r="N44" s="36" t="n"/>
      <c r="O44" s="43">
        <f>IF(AND(B44="SELL",G44&lt;&gt;0),Q44/ABS(G44),0)</f>
        <v/>
      </c>
      <c r="P44" s="43">
        <f>IF(AND(B44="SELL",D44&gt;0),R44/D44,0)</f>
        <v/>
      </c>
      <c r="Q44" s="44">
        <f>IF(AND(B44="SELL",D44&gt;0,E44&gt;0),(D44/E44)+G44,0)</f>
        <v/>
      </c>
      <c r="R44" s="45">
        <f>IF(B44="SELL",Q44*F44,0)</f>
        <v/>
      </c>
      <c r="S44" s="24">
        <f>S43+R44</f>
        <v/>
      </c>
    </row>
    <row r="45" ht="15.75" customHeight="1" s="94">
      <c r="A45" s="46" t="n">
        <v>44</v>
      </c>
      <c r="B45" s="47" t="inlineStr">
        <is>
          <t>SELL</t>
        </is>
      </c>
      <c r="C45" s="48" t="n">
        <v>46001</v>
      </c>
      <c r="D45" s="49" t="n">
        <v>50000</v>
      </c>
      <c r="E45" s="50" t="n">
        <v>931.89</v>
      </c>
      <c r="F45" s="50" t="n">
        <v>931.89</v>
      </c>
      <c r="G45" s="51" t="n">
        <v>-49.58</v>
      </c>
      <c r="H45" s="51" t="n"/>
      <c r="I45" s="30" t="n">
        <v>2058.6</v>
      </c>
      <c r="J45" s="51" t="n">
        <v>427.09</v>
      </c>
      <c r="K45" s="52">
        <f>IF(AND(B45="SELL",E45&gt;0,J45&lt;&gt;""),J45/E45,0)</f>
        <v/>
      </c>
      <c r="L45" s="52" t="n">
        <v>0.423</v>
      </c>
      <c r="M45" s="50">
        <f>IF(AND(B45="SELL",L45&gt;0),D45*L45,0)</f>
        <v/>
      </c>
      <c r="N45" s="46" t="n"/>
      <c r="O45" s="53">
        <f>IF(AND(B45="SELL",G45&lt;&gt;0),Q45/ABS(G45),0)</f>
        <v/>
      </c>
      <c r="P45" s="53">
        <f>IF(AND(B45="SELL",D45&gt;0),R45/D45,0)</f>
        <v/>
      </c>
      <c r="Q45" s="54">
        <f>IF(AND(B45="SELL",D45&gt;0,E45&gt;0),(D45/E45)+G45,0)</f>
        <v/>
      </c>
      <c r="R45" s="55">
        <f>IF(B45="SELL",Q45*F45,0)</f>
        <v/>
      </c>
      <c r="S45" s="35">
        <f>S44+R45</f>
        <v/>
      </c>
    </row>
    <row r="46" ht="15.75" customHeight="1" s="94">
      <c r="A46" s="36" t="n">
        <v>45</v>
      </c>
      <c r="B46" s="37" t="inlineStr">
        <is>
          <t>SELL</t>
        </is>
      </c>
      <c r="C46" s="38" t="n">
        <v>46001</v>
      </c>
      <c r="D46" s="39" t="n">
        <v>12500</v>
      </c>
      <c r="E46" s="40" t="n">
        <v>931.89</v>
      </c>
      <c r="F46" s="40" t="n">
        <v>931.89</v>
      </c>
      <c r="G46" s="41" t="n">
        <v>-12.58</v>
      </c>
      <c r="H46" s="41" t="n"/>
      <c r="I46" s="19" t="n">
        <v>2046.02</v>
      </c>
      <c r="J46" s="41" t="n">
        <v>422.15</v>
      </c>
      <c r="K46" s="42">
        <f>IF(AND(B46="SELL",E46&gt;0,J46&lt;&gt;""),J46/E46,0)</f>
        <v/>
      </c>
      <c r="L46" s="42" t="n">
        <v>0.423</v>
      </c>
      <c r="M46" s="40">
        <f>IF(AND(B46="SELL",L46&gt;0),D46*L46,0)</f>
        <v/>
      </c>
      <c r="N46" s="36" t="n"/>
      <c r="O46" s="43">
        <f>IF(AND(B46="SELL",G46&lt;&gt;0),Q46/ABS(G46),0)</f>
        <v/>
      </c>
      <c r="P46" s="43">
        <f>IF(AND(B46="SELL",D46&gt;0),R46/D46,0)</f>
        <v/>
      </c>
      <c r="Q46" s="44">
        <f>IF(AND(B46="SELL",D46&gt;0,E46&gt;0),(D46/E46)+G46,0)</f>
        <v/>
      </c>
      <c r="R46" s="45">
        <f>IF(B46="SELL",Q46*F46,0)</f>
        <v/>
      </c>
      <c r="S46" s="24">
        <f>S45+R46</f>
        <v/>
      </c>
    </row>
    <row r="47" ht="15.75" customHeight="1" s="94">
      <c r="A47" s="46" t="n">
        <v>46</v>
      </c>
      <c r="B47" s="47" t="inlineStr">
        <is>
          <t>SELL</t>
        </is>
      </c>
      <c r="C47" s="48" t="n">
        <v>46002</v>
      </c>
      <c r="D47" s="49" t="n">
        <v>25000</v>
      </c>
      <c r="E47" s="50" t="n">
        <v>931.89</v>
      </c>
      <c r="F47" s="50" t="n">
        <v>931.89</v>
      </c>
      <c r="G47" s="51" t="n">
        <v>-25.17</v>
      </c>
      <c r="H47" s="51" t="n"/>
      <c r="I47" s="30" t="n">
        <v>2020.85</v>
      </c>
      <c r="J47" s="51" t="n">
        <v>420.971</v>
      </c>
      <c r="K47" s="52">
        <f>IF(AND(B47="SELL",E47&gt;0,J47&lt;&gt;""),J47/E47,0)</f>
        <v/>
      </c>
      <c r="L47" s="52" t="n">
        <v>0.424</v>
      </c>
      <c r="M47" s="50">
        <f>IF(AND(B47="SELL",L47&gt;0),D47*L47,0)</f>
        <v/>
      </c>
      <c r="N47" s="46" t="n"/>
      <c r="O47" s="53">
        <f>IF(AND(B47="SELL",G47&lt;&gt;0),Q47/ABS(G47),0)</f>
        <v/>
      </c>
      <c r="P47" s="53">
        <f>IF(AND(B47="SELL",D47&gt;0),R47/D47,0)</f>
        <v/>
      </c>
      <c r="Q47" s="54">
        <f>IF(AND(B47="SELL",D47&gt;0,E47&gt;0),(D47/E47)+G47,0)</f>
        <v/>
      </c>
      <c r="R47" s="55">
        <f>IF(B47="SELL",Q47*F47,0)</f>
        <v/>
      </c>
      <c r="S47" s="35">
        <f>S46+R47</f>
        <v/>
      </c>
    </row>
    <row r="48" ht="15.75" customHeight="1" s="94">
      <c r="A48" s="36" t="n">
        <v>47</v>
      </c>
      <c r="B48" s="37" t="inlineStr">
        <is>
          <t>SELL</t>
        </is>
      </c>
      <c r="C48" s="38" t="n">
        <v>46002</v>
      </c>
      <c r="D48" s="39" t="n">
        <v>40000</v>
      </c>
      <c r="E48" s="40" t="n">
        <v>931.89</v>
      </c>
      <c r="F48" s="40" t="n">
        <v>931.89</v>
      </c>
      <c r="G48" s="41" t="n">
        <v>-38.99</v>
      </c>
      <c r="H48" s="41" t="n"/>
      <c r="I48" s="19" t="n">
        <v>1981.86</v>
      </c>
      <c r="J48" s="41" t="n">
        <v>3.334</v>
      </c>
      <c r="K48" s="42">
        <f>IF(AND(B48="SELL",E48&gt;0,J48&lt;&gt;""),J48/E48,0)</f>
        <v/>
      </c>
      <c r="L48" s="42" t="n">
        <v>0.00326</v>
      </c>
      <c r="M48" s="40">
        <f>IF(AND(B48="SELL",L48&gt;0),D48*L48,0)</f>
        <v/>
      </c>
      <c r="N48" s="36" t="n"/>
      <c r="O48" s="43">
        <f>IF(AND(B48="SELL",G48&lt;&gt;0),Q48/ABS(G48),0)</f>
        <v/>
      </c>
      <c r="P48" s="43">
        <f>IF(AND(B48="SELL",D48&gt;0),R48/D48,0)</f>
        <v/>
      </c>
      <c r="Q48" s="44">
        <f>IF(AND(B48="SELL",D48&gt;0,E48&gt;0),(D48/E48)+G48,0)</f>
        <v/>
      </c>
      <c r="R48" s="45">
        <f>IF(B48="SELL",Q48*F48,0)</f>
        <v/>
      </c>
      <c r="S48" s="24">
        <f>S47+R48</f>
        <v/>
      </c>
    </row>
    <row r="49" ht="15.75" customHeight="1" s="94">
      <c r="A49" s="46" t="n">
        <v>48</v>
      </c>
      <c r="B49" s="47" t="inlineStr">
        <is>
          <t>SELL</t>
        </is>
      </c>
      <c r="C49" s="48" t="n">
        <v>46002</v>
      </c>
      <c r="D49" s="49" t="n">
        <v>10000</v>
      </c>
      <c r="E49" s="50" t="n">
        <v>931.89</v>
      </c>
      <c r="F49" s="50" t="n">
        <v>931.89</v>
      </c>
      <c r="G49" s="51" t="n">
        <v>-10.1</v>
      </c>
      <c r="H49" s="51" t="n"/>
      <c r="I49" s="30" t="n">
        <v>1971.76</v>
      </c>
      <c r="J49" s="51" t="n">
        <v>419.5</v>
      </c>
      <c r="K49" s="52">
        <f>IF(AND(B49="SELL",E49&gt;0,J49&lt;&gt;""),J49/E49,0)</f>
        <v/>
      </c>
      <c r="L49" s="52" t="n">
        <v>0.424</v>
      </c>
      <c r="M49" s="50">
        <f>IF(AND(B49="SELL",L49&gt;0),D49*L49,0)</f>
        <v/>
      </c>
      <c r="N49" s="46" t="n"/>
      <c r="O49" s="53">
        <f>IF(AND(B49="SELL",G49&lt;&gt;0),Q49/ABS(G49),0)</f>
        <v/>
      </c>
      <c r="P49" s="53">
        <f>IF(AND(B49="SELL",D49&gt;0),R49/D49,0)</f>
        <v/>
      </c>
      <c r="Q49" s="54">
        <f>IF(AND(B49="SELL",D49&gt;0,E49&gt;0),(D49/E49)+G49,0)</f>
        <v/>
      </c>
      <c r="R49" s="55">
        <f>IF(B49="SELL",Q49*F49,0)</f>
        <v/>
      </c>
      <c r="S49" s="35">
        <f>S48+R49</f>
        <v/>
      </c>
    </row>
    <row r="50" ht="15.75" customHeight="1" s="94">
      <c r="A50" s="36" t="n">
        <v>49</v>
      </c>
      <c r="B50" s="37" t="inlineStr">
        <is>
          <t>SELL</t>
        </is>
      </c>
      <c r="C50" s="38" t="n">
        <v>46002</v>
      </c>
      <c r="D50" s="39" t="n">
        <v>67800</v>
      </c>
      <c r="E50" s="40" t="n">
        <v>931.89</v>
      </c>
      <c r="F50" s="40" t="n">
        <v>931.89</v>
      </c>
      <c r="G50" s="41" t="n">
        <v>-68.03</v>
      </c>
      <c r="H50" s="41" t="n"/>
      <c r="I50" s="19" t="n">
        <v>1903.73</v>
      </c>
      <c r="J50" s="41" t="n">
        <v>422.506</v>
      </c>
      <c r="K50" s="42">
        <f>IF(AND(B50="SELL",E50&gt;0,J50&lt;&gt;""),J50/E50,0)</f>
        <v/>
      </c>
      <c r="L50" s="42" t="n">
        <v>0.424</v>
      </c>
      <c r="M50" s="40">
        <f>IF(AND(B50="SELL",L50&gt;0),D50*L50,0)</f>
        <v/>
      </c>
      <c r="N50" s="36" t="n"/>
      <c r="O50" s="43">
        <f>IF(AND(B50="SELL",G50&lt;&gt;0),Q50/ABS(G50),0)</f>
        <v/>
      </c>
      <c r="P50" s="43">
        <f>IF(AND(B50="SELL",D50&gt;0),R50/D50,0)</f>
        <v/>
      </c>
      <c r="Q50" s="44">
        <f>IF(AND(B50="SELL",D50&gt;0,E50&gt;0),(D50/E50)+G50,0)</f>
        <v/>
      </c>
      <c r="R50" s="45">
        <f>IF(B50="SELL",Q50*F50,0)</f>
        <v/>
      </c>
      <c r="S50" s="24">
        <f>S49+R50</f>
        <v/>
      </c>
    </row>
    <row r="51" ht="15.75" customHeight="1" s="94">
      <c r="A51" s="46" t="n">
        <v>50</v>
      </c>
      <c r="B51" s="47" t="inlineStr">
        <is>
          <t>SELL</t>
        </is>
      </c>
      <c r="C51" s="48" t="n">
        <v>46003</v>
      </c>
      <c r="D51" s="49" t="n">
        <v>20000</v>
      </c>
      <c r="E51" s="50" t="n">
        <v>931.89</v>
      </c>
      <c r="F51" s="50" t="n">
        <v>931.89</v>
      </c>
      <c r="G51" s="51" t="n">
        <v>-20.58</v>
      </c>
      <c r="H51" s="51" t="n"/>
      <c r="I51" s="30" t="n">
        <v>1883.15</v>
      </c>
      <c r="J51" s="51" t="n">
        <v>417.709</v>
      </c>
      <c r="K51" s="52">
        <f>IF(AND(B51="SELL",E51&gt;0,J51&lt;&gt;""),J51/E51,0)</f>
        <v/>
      </c>
      <c r="L51" s="52" t="n">
        <v>0.43</v>
      </c>
      <c r="M51" s="50">
        <f>IF(AND(B51="SELL",L51&gt;0),D51*L51,0)</f>
        <v/>
      </c>
      <c r="N51" s="46" t="n"/>
      <c r="O51" s="53">
        <f>IF(AND(B51="SELL",G51&lt;&gt;0),Q51/ABS(G51),0)</f>
        <v/>
      </c>
      <c r="P51" s="53">
        <f>IF(AND(B51="SELL",D51&gt;0),R51/D51,0)</f>
        <v/>
      </c>
      <c r="Q51" s="54">
        <f>IF(AND(B51="SELL",D51&gt;0,E51&gt;0),(D51/E51)+G51,0)</f>
        <v/>
      </c>
      <c r="R51" s="55">
        <f>IF(B51="SELL",Q51*F51,0)</f>
        <v/>
      </c>
      <c r="S51" s="35">
        <f>S50+R51</f>
        <v/>
      </c>
    </row>
    <row r="52" ht="15.75" customHeight="1" s="94">
      <c r="A52" s="36" t="n">
        <v>51</v>
      </c>
      <c r="B52" s="37" t="inlineStr">
        <is>
          <t>SELL</t>
        </is>
      </c>
      <c r="C52" s="38" t="n">
        <v>46003</v>
      </c>
      <c r="D52" s="39" t="n">
        <v>50000</v>
      </c>
      <c r="E52" s="40" t="n">
        <v>931.89</v>
      </c>
      <c r="F52" s="40" t="n">
        <v>931.89</v>
      </c>
      <c r="G52" s="41" t="n">
        <v>-50.78</v>
      </c>
      <c r="H52" s="41" t="n"/>
      <c r="I52" s="19" t="n">
        <v>1832.37</v>
      </c>
      <c r="J52" s="41" t="n">
        <v>423.325</v>
      </c>
      <c r="K52" s="42">
        <f>IF(AND(B52="SELL",E52&gt;0,J52&lt;&gt;""),J52/E52,0)</f>
        <v/>
      </c>
      <c r="L52" s="42" t="n">
        <v>0.43</v>
      </c>
      <c r="M52" s="40">
        <f>IF(AND(B52="SELL",L52&gt;0),D52*L52,0)</f>
        <v/>
      </c>
      <c r="N52" s="36" t="n"/>
      <c r="O52" s="43">
        <f>IF(AND(B52="SELL",G52&lt;&gt;0),Q52/ABS(G52),0)</f>
        <v/>
      </c>
      <c r="P52" s="43">
        <f>IF(AND(B52="SELL",D52&gt;0),R52/D52,0)</f>
        <v/>
      </c>
      <c r="Q52" s="44">
        <f>IF(AND(B52="SELL",D52&gt;0,E52&gt;0),(D52/E52)+G52,0)</f>
        <v/>
      </c>
      <c r="R52" s="45">
        <f>IF(B52="SELL",Q52*F52,0)</f>
        <v/>
      </c>
      <c r="S52" s="24">
        <f>S51+R52</f>
        <v/>
      </c>
    </row>
    <row r="53" ht="15.75" customHeight="1" s="94">
      <c r="A53" s="46" t="n">
        <v>52</v>
      </c>
      <c r="B53" s="47" t="inlineStr">
        <is>
          <t>SELL</t>
        </is>
      </c>
      <c r="C53" s="48" t="n">
        <v>46003</v>
      </c>
      <c r="D53" s="49" t="n">
        <v>50000</v>
      </c>
      <c r="E53" s="50" t="n">
        <v>931.89</v>
      </c>
      <c r="F53" s="50" t="n">
        <v>931.89</v>
      </c>
      <c r="G53" s="51" t="n">
        <v>-50.91</v>
      </c>
      <c r="H53" s="51" t="n"/>
      <c r="I53" s="30" t="n">
        <v>1781.46</v>
      </c>
      <c r="J53" s="51" t="n">
        <v>422.225</v>
      </c>
      <c r="K53" s="52">
        <f>IF(AND(B53="SELL",E53&gt;0,J53&lt;&gt;""),J53/E53,0)</f>
        <v/>
      </c>
      <c r="L53" s="52" t="n">
        <v>0.43</v>
      </c>
      <c r="M53" s="50">
        <f>IF(AND(B53="SELL",L53&gt;0),D53*L53,0)</f>
        <v/>
      </c>
      <c r="N53" s="46" t="n"/>
      <c r="O53" s="53">
        <f>IF(AND(B53="SELL",G53&lt;&gt;0),Q53/ABS(G53),0)</f>
        <v/>
      </c>
      <c r="P53" s="53">
        <f>IF(AND(B53="SELL",D53&gt;0),R53/D53,0)</f>
        <v/>
      </c>
      <c r="Q53" s="54">
        <f>IF(AND(B53="SELL",D53&gt;0,E53&gt;0),(D53/E53)+G53,0)</f>
        <v/>
      </c>
      <c r="R53" s="55">
        <f>IF(B53="SELL",Q53*F53,0)</f>
        <v/>
      </c>
      <c r="S53" s="35">
        <f>S52+R53</f>
        <v/>
      </c>
    </row>
    <row r="54" ht="15.75" customHeight="1" s="94">
      <c r="A54" s="36" t="n">
        <v>53</v>
      </c>
      <c r="B54" s="37" t="inlineStr">
        <is>
          <t>SELL</t>
        </is>
      </c>
      <c r="C54" s="38" t="n">
        <v>46003</v>
      </c>
      <c r="D54" s="39" t="n">
        <v>19000</v>
      </c>
      <c r="E54" s="40" t="n">
        <v>931.89</v>
      </c>
      <c r="F54" s="40" t="n">
        <v>931.89</v>
      </c>
      <c r="G54" s="41" t="n">
        <v>-19.38</v>
      </c>
      <c r="H54" s="41" t="n"/>
      <c r="I54" s="19" t="n">
        <v>1762.08</v>
      </c>
      <c r="J54" s="41" t="n">
        <v>421.5</v>
      </c>
      <c r="K54" s="42">
        <f>IF(AND(B54="SELL",E54&gt;0,J54&lt;&gt;""),J54/E54,0)</f>
        <v/>
      </c>
      <c r="L54" s="42" t="n">
        <v>0.43</v>
      </c>
      <c r="M54" s="40">
        <f>IF(AND(B54="SELL",L54&gt;0),D54*L54,0)</f>
        <v/>
      </c>
      <c r="N54" s="36" t="n"/>
      <c r="O54" s="43">
        <f>IF(AND(B54="SELL",G54&lt;&gt;0),Q54/ABS(G54),0)</f>
        <v/>
      </c>
      <c r="P54" s="43">
        <f>IF(AND(B54="SELL",D54&gt;0),R54/D54,0)</f>
        <v/>
      </c>
      <c r="Q54" s="44">
        <f>IF(AND(B54="SELL",D54&gt;0,E54&gt;0),(D54/E54)+G54,0)</f>
        <v/>
      </c>
      <c r="R54" s="45">
        <f>IF(B54="SELL",Q54*F54,0)</f>
        <v/>
      </c>
      <c r="S54" s="24">
        <f>S53+R54</f>
        <v/>
      </c>
    </row>
    <row r="55" ht="15.75" customHeight="1" s="94">
      <c r="A55" s="46" t="n">
        <v>54</v>
      </c>
      <c r="B55" s="47" t="inlineStr">
        <is>
          <t>SELL</t>
        </is>
      </c>
      <c r="C55" s="48" t="n">
        <v>46003</v>
      </c>
      <c r="D55" s="49" t="n">
        <v>30000</v>
      </c>
      <c r="E55" s="50" t="n">
        <v>931.89</v>
      </c>
      <c r="F55" s="50" t="n">
        <v>931.89</v>
      </c>
      <c r="G55" s="51" t="n">
        <v>-30.69</v>
      </c>
      <c r="H55" s="51" t="n"/>
      <c r="I55" s="30" t="n">
        <v>1731.39</v>
      </c>
      <c r="J55" s="51" t="n">
        <v>420.301</v>
      </c>
      <c r="K55" s="52">
        <f>IF(AND(B55="SELL",E55&gt;0,J55&lt;&gt;""),J55/E55,0)</f>
        <v/>
      </c>
      <c r="L55" s="52" t="n">
        <v>0.43</v>
      </c>
      <c r="M55" s="50">
        <f>IF(AND(B55="SELL",L55&gt;0),D55*L55,0)</f>
        <v/>
      </c>
      <c r="N55" s="46" t="n"/>
      <c r="O55" s="53">
        <f>IF(AND(B55="SELL",G55&lt;&gt;0),Q55/ABS(G55),0)</f>
        <v/>
      </c>
      <c r="P55" s="53">
        <f>IF(AND(B55="SELL",D55&gt;0),R55/D55,0)</f>
        <v/>
      </c>
      <c r="Q55" s="54">
        <f>IF(AND(B55="SELL",D55&gt;0,E55&gt;0),(D55/E55)+G55,0)</f>
        <v/>
      </c>
      <c r="R55" s="55">
        <f>IF(B55="SELL",Q55*F55,0)</f>
        <v/>
      </c>
      <c r="S55" s="35">
        <f>S54+R55</f>
        <v/>
      </c>
    </row>
    <row r="56" ht="15.75" customHeight="1" s="94">
      <c r="A56" s="36" t="n">
        <v>55</v>
      </c>
      <c r="B56" s="37" t="inlineStr">
        <is>
          <t>SELL</t>
        </is>
      </c>
      <c r="C56" s="38" t="n">
        <v>46004</v>
      </c>
      <c r="D56" s="39" t="n">
        <v>20000</v>
      </c>
      <c r="E56" s="40" t="n">
        <v>931.89</v>
      </c>
      <c r="F56" s="40" t="n">
        <v>931.89</v>
      </c>
      <c r="G56" s="41" t="n">
        <v>-20.57</v>
      </c>
      <c r="H56" s="41" t="n"/>
      <c r="I56" s="19" t="n">
        <v>1710.82</v>
      </c>
      <c r="J56" s="41" t="n">
        <v>419</v>
      </c>
      <c r="K56" s="42">
        <f>IF(AND(B56="SELL",E56&gt;0,J56&lt;&gt;""),J56/E56,0)</f>
        <v/>
      </c>
      <c r="L56" s="42" t="n">
        <v>0.431</v>
      </c>
      <c r="M56" s="40">
        <f>IF(AND(B56="SELL",L56&gt;0),D56*L56,0)</f>
        <v/>
      </c>
      <c r="N56" s="36" t="n"/>
      <c r="O56" s="43">
        <f>IF(AND(B56="SELL",G56&lt;&gt;0),Q56/ABS(G56),0)</f>
        <v/>
      </c>
      <c r="P56" s="43">
        <f>IF(AND(B56="SELL",D56&gt;0),R56/D56,0)</f>
        <v/>
      </c>
      <c r="Q56" s="44">
        <f>IF(AND(B56="SELL",D56&gt;0,E56&gt;0),(D56/E56)+G56,0)</f>
        <v/>
      </c>
      <c r="R56" s="45">
        <f>IF(B56="SELL",Q56*F56,0)</f>
        <v/>
      </c>
      <c r="S56" s="24">
        <f>S55+R56</f>
        <v/>
      </c>
    </row>
    <row r="57" ht="15.75" customHeight="1" s="94">
      <c r="A57" s="46" t="n">
        <v>56</v>
      </c>
      <c r="B57" s="47" t="inlineStr">
        <is>
          <t>SELL</t>
        </is>
      </c>
      <c r="C57" s="48" t="n">
        <v>46004</v>
      </c>
      <c r="D57" s="49" t="n">
        <v>50000</v>
      </c>
      <c r="E57" s="50" t="n">
        <v>931.89</v>
      </c>
      <c r="F57" s="50" t="n">
        <v>931.89</v>
      </c>
      <c r="G57" s="51" t="n">
        <v>-51.14</v>
      </c>
      <c r="H57" s="51" t="n"/>
      <c r="I57" s="30" t="n">
        <v>1659.68</v>
      </c>
      <c r="J57" s="51" t="n">
        <v>412.361</v>
      </c>
      <c r="K57" s="52">
        <f>IF(AND(B57="SELL",E57&gt;0,J57&lt;&gt;""),J57/E57,0)</f>
        <v/>
      </c>
      <c r="L57" s="52" t="n">
        <v>0.431</v>
      </c>
      <c r="M57" s="50">
        <f>IF(AND(B57="SELL",L57&gt;0),D57*L57,0)</f>
        <v/>
      </c>
      <c r="N57" s="46" t="n"/>
      <c r="O57" s="53">
        <f>IF(AND(B57="SELL",G57&lt;&gt;0),Q57/ABS(G57),0)</f>
        <v/>
      </c>
      <c r="P57" s="53">
        <f>IF(AND(B57="SELL",D57&gt;0),R57/D57,0)</f>
        <v/>
      </c>
      <c r="Q57" s="54">
        <f>IF(AND(B57="SELL",D57&gt;0,E57&gt;0),(D57/E57)+G57,0)</f>
        <v/>
      </c>
      <c r="R57" s="55">
        <f>IF(B57="SELL",Q57*F57,0)</f>
        <v/>
      </c>
      <c r="S57" s="35">
        <f>S56+R57</f>
        <v/>
      </c>
    </row>
    <row r="58" ht="15.75" customHeight="1" s="94">
      <c r="A58" s="36" t="n">
        <v>57</v>
      </c>
      <c r="B58" s="37" t="inlineStr">
        <is>
          <t>SELL</t>
        </is>
      </c>
      <c r="C58" s="38" t="n">
        <v>46004</v>
      </c>
      <c r="D58" s="39" t="n">
        <v>50000</v>
      </c>
      <c r="E58" s="40" t="n">
        <v>931.89</v>
      </c>
      <c r="F58" s="40" t="n">
        <v>931.89</v>
      </c>
      <c r="G58" s="41" t="n">
        <v>-51.24</v>
      </c>
      <c r="H58" s="41" t="n"/>
      <c r="I58" s="19" t="n">
        <v>1608.44</v>
      </c>
      <c r="J58" s="41" t="n">
        <v>420.511</v>
      </c>
      <c r="K58" s="42">
        <f>IF(AND(B58="SELL",E58&gt;0,J58&lt;&gt;""),J58/E58,0)</f>
        <v/>
      </c>
      <c r="L58" s="42" t="n">
        <v>0.431</v>
      </c>
      <c r="M58" s="40">
        <f>IF(AND(B58="SELL",L58&gt;0),D58*L58,0)</f>
        <v/>
      </c>
      <c r="N58" s="36" t="n"/>
      <c r="O58" s="43">
        <f>IF(AND(B58="SELL",G58&lt;&gt;0),Q58/ABS(G58),0)</f>
        <v/>
      </c>
      <c r="P58" s="43">
        <f>IF(AND(B58="SELL",D58&gt;0),R58/D58,0)</f>
        <v/>
      </c>
      <c r="Q58" s="44">
        <f>IF(AND(B58="SELL",D58&gt;0,E58&gt;0),(D58/E58)+G58,0)</f>
        <v/>
      </c>
      <c r="R58" s="45">
        <f>IF(B58="SELL",Q58*F58,0)</f>
        <v/>
      </c>
      <c r="S58" s="24">
        <f>S57+R58</f>
        <v/>
      </c>
    </row>
    <row r="59" ht="15.75" customHeight="1" s="94">
      <c r="A59" s="46" t="n">
        <v>58</v>
      </c>
      <c r="B59" s="47" t="inlineStr">
        <is>
          <t>SELL</t>
        </is>
      </c>
      <c r="C59" s="48" t="n">
        <v>46004</v>
      </c>
      <c r="D59" s="49" t="n">
        <v>69700</v>
      </c>
      <c r="E59" s="50" t="n">
        <v>931.89</v>
      </c>
      <c r="F59" s="50" t="n">
        <v>931.89</v>
      </c>
      <c r="G59" s="51" t="n">
        <v>-71.53</v>
      </c>
      <c r="H59" s="51" t="n"/>
      <c r="I59" s="30" t="n">
        <v>1536.91</v>
      </c>
      <c r="J59" s="51" t="n">
        <v>418.72</v>
      </c>
      <c r="K59" s="52">
        <f>IF(AND(B59="SELL",E59&gt;0,J59&lt;&gt;""),J59/E59,0)</f>
        <v/>
      </c>
      <c r="L59" s="52" t="n">
        <v>0.43</v>
      </c>
      <c r="M59" s="50">
        <f>IF(AND(B59="SELL",L59&gt;0),D59*L59,0)</f>
        <v/>
      </c>
      <c r="N59" s="46" t="n"/>
      <c r="O59" s="53">
        <f>IF(AND(B59="SELL",G59&lt;&gt;0),Q59/ABS(G59),0)</f>
        <v/>
      </c>
      <c r="P59" s="53">
        <f>IF(AND(B59="SELL",D59&gt;0),R59/D59,0)</f>
        <v/>
      </c>
      <c r="Q59" s="54">
        <f>IF(AND(B59="SELL",D59&gt;0,E59&gt;0),(D59/E59)+G59,0)</f>
        <v/>
      </c>
      <c r="R59" s="55">
        <f>IF(B59="SELL",Q59*F59,0)</f>
        <v/>
      </c>
      <c r="S59" s="35">
        <f>S58+R59</f>
        <v/>
      </c>
    </row>
    <row r="60" ht="15.75" customHeight="1" s="94">
      <c r="A60" s="36" t="n">
        <v>59</v>
      </c>
      <c r="B60" s="37" t="inlineStr">
        <is>
          <t>SELL</t>
        </is>
      </c>
      <c r="C60" s="38" t="n">
        <v>46004</v>
      </c>
      <c r="D60" s="39" t="n">
        <v>150000</v>
      </c>
      <c r="E60" s="40" t="n">
        <v>931.89</v>
      </c>
      <c r="F60" s="40" t="n">
        <v>931.89</v>
      </c>
      <c r="G60" s="41" t="n">
        <v>-152.46</v>
      </c>
      <c r="H60" s="41" t="n"/>
      <c r="I60" s="19" t="n">
        <v>1384.45</v>
      </c>
      <c r="J60" s="41" t="n">
        <v>424.02</v>
      </c>
      <c r="K60" s="42">
        <f>IF(AND(B60="SELL",E60&gt;0,J60&lt;&gt;""),J60/E60,0)</f>
        <v/>
      </c>
      <c r="L60" s="42" t="n">
        <v>0.431</v>
      </c>
      <c r="M60" s="40">
        <f>IF(AND(B60="SELL",L60&gt;0),D60*L60,0)</f>
        <v/>
      </c>
      <c r="N60" s="36" t="n"/>
      <c r="O60" s="43">
        <f>IF(AND(B60="SELL",G60&lt;&gt;0),Q60/ABS(G60),0)</f>
        <v/>
      </c>
      <c r="P60" s="43">
        <f>IF(AND(B60="SELL",D60&gt;0),R60/D60,0)</f>
        <v/>
      </c>
      <c r="Q60" s="44">
        <f>IF(AND(B60="SELL",D60&gt;0,E60&gt;0),(D60/E60)+G60,0)</f>
        <v/>
      </c>
      <c r="R60" s="45">
        <f>IF(B60="SELL",Q60*F60,0)</f>
        <v/>
      </c>
      <c r="S60" s="24">
        <f>S59+R60</f>
        <v/>
      </c>
    </row>
    <row r="61" ht="15.75" customHeight="1" s="94">
      <c r="A61" s="46" t="n">
        <v>60</v>
      </c>
      <c r="B61" s="47" t="inlineStr">
        <is>
          <t>SELL</t>
        </is>
      </c>
      <c r="C61" s="48" t="n">
        <v>46004</v>
      </c>
      <c r="D61" s="49" t="n">
        <v>30000</v>
      </c>
      <c r="E61" s="50" t="n">
        <v>931.89</v>
      </c>
      <c r="F61" s="50" t="n">
        <v>931.89</v>
      </c>
      <c r="G61" s="51" t="n">
        <v>-30.67</v>
      </c>
      <c r="H61" s="51" t="n"/>
      <c r="I61" s="30" t="n">
        <v>1353.78</v>
      </c>
      <c r="J61" s="51" t="n">
        <v>421.501</v>
      </c>
      <c r="K61" s="52">
        <f>IF(AND(B61="SELL",E61&gt;0,J61&lt;&gt;""),J61/E61,0)</f>
        <v/>
      </c>
      <c r="L61" s="52" t="n">
        <v>0.431</v>
      </c>
      <c r="M61" s="50">
        <f>IF(AND(B61="SELL",L61&gt;0),D61*L61,0)</f>
        <v/>
      </c>
      <c r="N61" s="46" t="n"/>
      <c r="O61" s="53">
        <f>IF(AND(B61="SELL",G61&lt;&gt;0),Q61/ABS(G61),0)</f>
        <v/>
      </c>
      <c r="P61" s="53">
        <f>IF(AND(B61="SELL",D61&gt;0),R61/D61,0)</f>
        <v/>
      </c>
      <c r="Q61" s="54">
        <f>IF(AND(B61="SELL",D61&gt;0,E61&gt;0),(D61/E61)+G61,0)</f>
        <v/>
      </c>
      <c r="R61" s="55">
        <f>IF(B61="SELL",Q61*F61,0)</f>
        <v/>
      </c>
      <c r="S61" s="35">
        <f>S60+R61</f>
        <v/>
      </c>
    </row>
    <row r="62" ht="15.75" customHeight="1" s="94">
      <c r="A62" s="36" t="n">
        <v>61</v>
      </c>
      <c r="B62" s="37" t="inlineStr">
        <is>
          <t>SELL</t>
        </is>
      </c>
      <c r="C62" s="38" t="n">
        <v>46004</v>
      </c>
      <c r="D62" s="39" t="n">
        <v>40000</v>
      </c>
      <c r="E62" s="40" t="n">
        <v>931.89</v>
      </c>
      <c r="F62" s="40" t="n">
        <v>931.89</v>
      </c>
      <c r="G62" s="41" t="n">
        <v>-41.68</v>
      </c>
      <c r="H62" s="41" t="n"/>
      <c r="I62" s="19" t="n">
        <v>1312.1</v>
      </c>
      <c r="J62" s="41" t="n">
        <v>413.6</v>
      </c>
      <c r="K62" s="42">
        <f>IF(AND(B62="SELL",E62&gt;0,J62&lt;&gt;""),J62/E62,0)</f>
        <v/>
      </c>
      <c r="L62" s="42" t="n">
        <v>0.431</v>
      </c>
      <c r="M62" s="40">
        <f>IF(AND(B62="SELL",L62&gt;0),D62*L62,0)</f>
        <v/>
      </c>
      <c r="N62" s="36" t="n"/>
      <c r="O62" s="43">
        <f>IF(AND(B62="SELL",G62&lt;&gt;0),Q62/ABS(G62),0)</f>
        <v/>
      </c>
      <c r="P62" s="43">
        <f>IF(AND(B62="SELL",D62&gt;0),R62/D62,0)</f>
        <v/>
      </c>
      <c r="Q62" s="44">
        <f>IF(AND(B62="SELL",D62&gt;0,E62&gt;0),(D62/E62)+G62,0)</f>
        <v/>
      </c>
      <c r="R62" s="45">
        <f>IF(B62="SELL",Q62*F62,0)</f>
        <v/>
      </c>
      <c r="S62" s="24">
        <f>S61+R62</f>
        <v/>
      </c>
    </row>
    <row r="63" ht="15.75" customHeight="1" s="94">
      <c r="A63" s="46" t="n">
        <v>62</v>
      </c>
      <c r="B63" s="47" t="inlineStr">
        <is>
          <t>SELL</t>
        </is>
      </c>
      <c r="C63" s="48" t="n">
        <v>46004</v>
      </c>
      <c r="D63" s="49" t="n">
        <v>25000</v>
      </c>
      <c r="E63" s="50" t="n">
        <v>931.89</v>
      </c>
      <c r="F63" s="50" t="n">
        <v>931.89</v>
      </c>
      <c r="G63" s="51" t="n">
        <v>-25.99</v>
      </c>
      <c r="H63" s="51" t="n"/>
      <c r="I63" s="30" t="n">
        <v>1286.11</v>
      </c>
      <c r="J63" s="51" t="n">
        <v>414.552</v>
      </c>
      <c r="K63" s="52">
        <f>IF(AND(B63="SELL",E63&gt;0,J63&lt;&gt;""),J63/E63,0)</f>
        <v/>
      </c>
      <c r="L63" s="52" t="n">
        <v>0.431</v>
      </c>
      <c r="M63" s="50">
        <f>IF(AND(B63="SELL",L63&gt;0),D63*L63,0)</f>
        <v/>
      </c>
      <c r="N63" s="46" t="n"/>
      <c r="O63" s="53">
        <f>IF(AND(B63="SELL",G63&lt;&gt;0),Q63/ABS(G63),0)</f>
        <v/>
      </c>
      <c r="P63" s="53">
        <f>IF(AND(B63="SELL",D63&gt;0),R63/D63,0)</f>
        <v/>
      </c>
      <c r="Q63" s="54">
        <f>IF(AND(B63="SELL",D63&gt;0,E63&gt;0),(D63/E63)+G63,0)</f>
        <v/>
      </c>
      <c r="R63" s="55">
        <f>IF(B63="SELL",Q63*F63,0)</f>
        <v/>
      </c>
      <c r="S63" s="35">
        <f>S62+R63</f>
        <v/>
      </c>
    </row>
    <row r="64" ht="15.75" customHeight="1" s="94">
      <c r="A64" s="36" t="n">
        <v>63</v>
      </c>
      <c r="B64" s="37" t="inlineStr">
        <is>
          <t>SELL</t>
        </is>
      </c>
      <c r="C64" s="38" t="n">
        <v>46004</v>
      </c>
      <c r="D64" s="39" t="n">
        <v>50000</v>
      </c>
      <c r="E64" s="40" t="n">
        <v>931.89</v>
      </c>
      <c r="F64" s="40" t="n">
        <v>931.89</v>
      </c>
      <c r="G64" s="41" t="n">
        <v>-52.04</v>
      </c>
      <c r="H64" s="41" t="n"/>
      <c r="I64" s="19" t="n">
        <v>1234.07</v>
      </c>
      <c r="J64" s="41" t="n">
        <v>414.06</v>
      </c>
      <c r="K64" s="42">
        <f>IF(AND(B64="SELL",E64&gt;0,J64&lt;&gt;""),J64/E64,0)</f>
        <v/>
      </c>
      <c r="L64" s="42" t="n">
        <v>0.431</v>
      </c>
      <c r="M64" s="40">
        <f>IF(AND(B64="SELL",L64&gt;0),D64*L64,0)</f>
        <v/>
      </c>
      <c r="N64" s="36" t="n"/>
      <c r="O64" s="43">
        <f>IF(AND(B64="SELL",G64&lt;&gt;0),Q64/ABS(G64),0)</f>
        <v/>
      </c>
      <c r="P64" s="43">
        <f>IF(AND(B64="SELL",D64&gt;0),R64/D64,0)</f>
        <v/>
      </c>
      <c r="Q64" s="44">
        <f>IF(AND(B64="SELL",D64&gt;0,E64&gt;0),(D64/E64)+G64,0)</f>
        <v/>
      </c>
      <c r="R64" s="45">
        <f>IF(B64="SELL",Q64*F64,0)</f>
        <v/>
      </c>
      <c r="S64" s="24">
        <f>S63+R64</f>
        <v/>
      </c>
    </row>
    <row r="65" ht="15.75" customHeight="1" s="94">
      <c r="A65" s="46" t="n">
        <v>64</v>
      </c>
      <c r="B65" s="47" t="inlineStr">
        <is>
          <t>SELL</t>
        </is>
      </c>
      <c r="C65" s="48" t="n">
        <v>46004</v>
      </c>
      <c r="D65" s="49" t="n">
        <v>100000</v>
      </c>
      <c r="E65" s="50" t="n">
        <v>931.89</v>
      </c>
      <c r="F65" s="50" t="n">
        <v>931.89</v>
      </c>
      <c r="G65" s="51" t="n">
        <v>-104</v>
      </c>
      <c r="H65" s="51" t="n"/>
      <c r="I65" s="30" t="n">
        <v>1130.07</v>
      </c>
      <c r="J65" s="51" t="n">
        <v>414.142</v>
      </c>
      <c r="K65" s="52">
        <f>IF(AND(B65="SELL",E65&gt;0,J65&lt;&gt;""),J65/E65,0)</f>
        <v/>
      </c>
      <c r="L65" s="52" t="n">
        <v>0.431</v>
      </c>
      <c r="M65" s="50">
        <f>IF(AND(B65="SELL",L65&gt;0),D65*L65,0)</f>
        <v/>
      </c>
      <c r="N65" s="46" t="n"/>
      <c r="O65" s="53">
        <f>IF(AND(B65="SELL",G65&lt;&gt;0),Q65/ABS(G65),0)</f>
        <v/>
      </c>
      <c r="P65" s="53">
        <f>IF(AND(B65="SELL",D65&gt;0),R65/D65,0)</f>
        <v/>
      </c>
      <c r="Q65" s="54">
        <f>IF(AND(B65="SELL",D65&gt;0,E65&gt;0),(D65/E65)+G65,0)</f>
        <v/>
      </c>
      <c r="R65" s="55">
        <f>IF(B65="SELL",Q65*F65,0)</f>
        <v/>
      </c>
      <c r="S65" s="35">
        <f>S64+R65</f>
        <v/>
      </c>
    </row>
    <row r="66" ht="15.75" customHeight="1" s="94">
      <c r="A66" s="36" t="n">
        <v>65</v>
      </c>
      <c r="B66" s="37" t="inlineStr">
        <is>
          <t>SELL</t>
        </is>
      </c>
      <c r="C66" s="38" t="n">
        <v>46005</v>
      </c>
      <c r="D66" s="39" t="n">
        <v>95000</v>
      </c>
      <c r="E66" s="40" t="n">
        <v>931.89</v>
      </c>
      <c r="F66" s="40" t="n">
        <v>931.89</v>
      </c>
      <c r="G66" s="41" t="n">
        <v>-95.83</v>
      </c>
      <c r="H66" s="41" t="n"/>
      <c r="I66" s="19" t="n">
        <v>1034.24</v>
      </c>
      <c r="J66" s="41" t="n">
        <v>420.311</v>
      </c>
      <c r="K66" s="42">
        <f>IF(AND(B66="SELL",E66&gt;0,J66&lt;&gt;""),J66/E66,0)</f>
        <v/>
      </c>
      <c r="L66" s="42" t="n">
        <v>0.424</v>
      </c>
      <c r="M66" s="40">
        <f>IF(AND(B66="SELL",L66&gt;0),D66*L66,0)</f>
        <v/>
      </c>
      <c r="N66" s="36" t="n"/>
      <c r="O66" s="43">
        <f>IF(AND(B66="SELL",G66&lt;&gt;0),Q66/ABS(G66),0)</f>
        <v/>
      </c>
      <c r="P66" s="43">
        <f>IF(AND(B66="SELL",D66&gt;0),R66/D66,0)</f>
        <v/>
      </c>
      <c r="Q66" s="44">
        <f>IF(AND(B66="SELL",D66&gt;0,E66&gt;0),(D66/E66)+G66,0)</f>
        <v/>
      </c>
      <c r="R66" s="45">
        <f>IF(B66="SELL",Q66*F66,0)</f>
        <v/>
      </c>
      <c r="S66" s="24">
        <f>S65+R66</f>
        <v/>
      </c>
    </row>
    <row r="67" ht="15.75" customHeight="1" s="94">
      <c r="A67" s="46" t="n">
        <v>66</v>
      </c>
      <c r="B67" s="47" t="inlineStr">
        <is>
          <t>SELL</t>
        </is>
      </c>
      <c r="C67" s="48" t="n">
        <v>46005</v>
      </c>
      <c r="D67" s="49" t="n">
        <v>16000</v>
      </c>
      <c r="E67" s="50" t="n">
        <v>931.89</v>
      </c>
      <c r="F67" s="50" t="n">
        <v>931.89</v>
      </c>
      <c r="G67" s="51" t="n">
        <v>-16.29</v>
      </c>
      <c r="H67" s="51" t="n"/>
      <c r="I67" s="30" t="n">
        <v>1017.95</v>
      </c>
      <c r="J67" s="51" t="n">
        <v>416</v>
      </c>
      <c r="K67" s="52">
        <f>IF(AND(B67="SELL",E67&gt;0,J67&lt;&gt;""),J67/E67,0)</f>
        <v/>
      </c>
      <c r="L67" s="52" t="n">
        <v>0.424</v>
      </c>
      <c r="M67" s="50">
        <f>IF(AND(B67="SELL",L67&gt;0),D67*L67,0)</f>
        <v/>
      </c>
      <c r="N67" s="46" t="n"/>
      <c r="O67" s="53">
        <f>IF(AND(B67="SELL",G67&lt;&gt;0),Q67/ABS(G67),0)</f>
        <v/>
      </c>
      <c r="P67" s="53">
        <f>IF(AND(B67="SELL",D67&gt;0),R67/D67,0)</f>
        <v/>
      </c>
      <c r="Q67" s="54">
        <f>IF(AND(B67="SELL",D67&gt;0,E67&gt;0),(D67/E67)+G67,0)</f>
        <v/>
      </c>
      <c r="R67" s="55">
        <f>IF(B67="SELL",Q67*F67,0)</f>
        <v/>
      </c>
      <c r="S67" s="35">
        <f>S66+R67</f>
        <v/>
      </c>
    </row>
    <row r="68" ht="15.75" customHeight="1" s="94">
      <c r="A68" s="36" t="n">
        <v>67</v>
      </c>
      <c r="B68" s="37" t="inlineStr">
        <is>
          <t>SELL</t>
        </is>
      </c>
      <c r="C68" s="38" t="n">
        <v>46005</v>
      </c>
      <c r="D68" s="39" t="n">
        <v>50000</v>
      </c>
      <c r="E68" s="40" t="n">
        <v>931.89</v>
      </c>
      <c r="F68" s="40" t="n">
        <v>931.89</v>
      </c>
      <c r="G68" s="41" t="n">
        <v>-51.38</v>
      </c>
      <c r="H68" s="41" t="n"/>
      <c r="I68" s="19" t="n">
        <v>966.570000000001</v>
      </c>
      <c r="J68" s="41" t="n">
        <v>412.6</v>
      </c>
      <c r="K68" s="42">
        <f>IF(AND(B68="SELL",E68&gt;0,J68&lt;&gt;""),J68/E68,0)</f>
        <v/>
      </c>
      <c r="L68" s="42" t="n">
        <v>0.424</v>
      </c>
      <c r="M68" s="40">
        <f>IF(AND(B68="SELL",L68&gt;0),D68*L68,0)</f>
        <v/>
      </c>
      <c r="N68" s="36" t="n"/>
      <c r="O68" s="43">
        <f>IF(AND(B68="SELL",G68&lt;&gt;0),Q68/ABS(G68),0)</f>
        <v/>
      </c>
      <c r="P68" s="43">
        <f>IF(AND(B68="SELL",D68&gt;0),R68/D68,0)</f>
        <v/>
      </c>
      <c r="Q68" s="44">
        <f>IF(AND(B68="SELL",D68&gt;0,E68&gt;0),(D68/E68)+G68,0)</f>
        <v/>
      </c>
      <c r="R68" s="45">
        <f>IF(B68="SELL",Q68*F68,0)</f>
        <v/>
      </c>
      <c r="S68" s="24">
        <f>S67+R68</f>
        <v/>
      </c>
    </row>
    <row r="69" ht="15.75" customHeight="1" s="94">
      <c r="A69" s="46" t="n">
        <v>68</v>
      </c>
      <c r="B69" s="47" t="inlineStr">
        <is>
          <t>SELL</t>
        </is>
      </c>
      <c r="C69" s="48" t="n">
        <v>46005</v>
      </c>
      <c r="D69" s="49" t="n">
        <v>220000</v>
      </c>
      <c r="E69" s="50" t="n">
        <v>931.89</v>
      </c>
      <c r="F69" s="50" t="n">
        <v>931.89</v>
      </c>
      <c r="G69" s="51" t="n">
        <v>-223.09</v>
      </c>
      <c r="H69" s="51" t="n"/>
      <c r="I69" s="30" t="n">
        <v>743.480000000001</v>
      </c>
      <c r="J69" s="51" t="n">
        <v>419.112</v>
      </c>
      <c r="K69" s="52">
        <f>IF(AND(B69="SELL",E69&gt;0,J69&lt;&gt;""),J69/E69,0)</f>
        <v/>
      </c>
      <c r="L69" s="52" t="n">
        <v>0.424</v>
      </c>
      <c r="M69" s="50">
        <f>IF(AND(B69="SELL",L69&gt;0),D69*L69,0)</f>
        <v/>
      </c>
      <c r="N69" s="46" t="n"/>
      <c r="O69" s="53">
        <f>IF(AND(B69="SELL",G69&lt;&gt;0),Q69/ABS(G69),0)</f>
        <v/>
      </c>
      <c r="P69" s="53">
        <f>IF(AND(B69="SELL",D69&gt;0),R69/D69,0)</f>
        <v/>
      </c>
      <c r="Q69" s="54">
        <f>IF(AND(B69="SELL",D69&gt;0,E69&gt;0),(D69/E69)+G69,0)</f>
        <v/>
      </c>
      <c r="R69" s="55">
        <f>IF(B69="SELL",Q69*F69,0)</f>
        <v/>
      </c>
      <c r="S69" s="35">
        <f>S68+R69</f>
        <v/>
      </c>
    </row>
    <row r="70" ht="15.75" customHeight="1" s="94">
      <c r="A70" s="36" t="n">
        <v>69</v>
      </c>
      <c r="B70" s="37" t="inlineStr">
        <is>
          <t>SELL</t>
        </is>
      </c>
      <c r="C70" s="38" t="n">
        <v>46005</v>
      </c>
      <c r="D70" s="39" t="n">
        <v>149700</v>
      </c>
      <c r="E70" s="40" t="n">
        <v>931.89</v>
      </c>
      <c r="F70" s="40" t="n">
        <v>931.89</v>
      </c>
      <c r="G70" s="41" t="n">
        <v>-151.7</v>
      </c>
      <c r="H70" s="41" t="n"/>
      <c r="I70" s="19" t="n">
        <v>591.780000000001</v>
      </c>
      <c r="J70" s="41" t="n">
        <v>418.401</v>
      </c>
      <c r="K70" s="42">
        <f>IF(AND(B70="SELL",E70&gt;0,J70&lt;&gt;""),J70/E70,0)</f>
        <v/>
      </c>
      <c r="L70" s="42" t="n">
        <v>0.424</v>
      </c>
      <c r="M70" s="40">
        <f>IF(AND(B70="SELL",L70&gt;0),D70*L70,0)</f>
        <v/>
      </c>
      <c r="N70" s="36" t="n"/>
      <c r="O70" s="43">
        <f>IF(AND(B70="SELL",G70&lt;&gt;0),Q70/ABS(G70),0)</f>
        <v/>
      </c>
      <c r="P70" s="43">
        <f>IF(AND(B70="SELL",D70&gt;0),R70/D70,0)</f>
        <v/>
      </c>
      <c r="Q70" s="44">
        <f>IF(AND(B70="SELL",D70&gt;0,E70&gt;0),(D70/E70)+G70,0)</f>
        <v/>
      </c>
      <c r="R70" s="45">
        <f>IF(B70="SELL",Q70*F70,0)</f>
        <v/>
      </c>
      <c r="S70" s="24">
        <f>S69+R70</f>
        <v/>
      </c>
    </row>
    <row r="71" ht="15.75" customHeight="1" s="94">
      <c r="A71" s="46" t="n">
        <v>70</v>
      </c>
      <c r="B71" s="47" t="inlineStr">
        <is>
          <t>SELL</t>
        </is>
      </c>
      <c r="C71" s="48" t="n">
        <v>46006</v>
      </c>
      <c r="D71" s="49" t="n">
        <v>15000</v>
      </c>
      <c r="E71" s="50" t="n">
        <v>931.89</v>
      </c>
      <c r="F71" s="50" t="n">
        <v>931.89</v>
      </c>
      <c r="G71" s="51" t="n">
        <v>-15.96</v>
      </c>
      <c r="H71" s="51" t="n"/>
      <c r="I71" s="30" t="n">
        <v>575.820000000001</v>
      </c>
      <c r="J71" s="51" t="n">
        <v>415.41</v>
      </c>
      <c r="K71" s="52">
        <f>IF(AND(B71="SELL",E71&gt;0,J71&lt;&gt;""),J71/E71,0)</f>
        <v/>
      </c>
      <c r="L71" s="52" t="n">
        <v>0.422</v>
      </c>
      <c r="M71" s="50">
        <f>IF(AND(B71="SELL",L71&gt;0),D71*L71,0)</f>
        <v/>
      </c>
      <c r="N71" s="46" t="n"/>
      <c r="O71" s="53">
        <f>IF(AND(B71="SELL",G71&lt;&gt;0),Q71/ABS(G71),0)</f>
        <v/>
      </c>
      <c r="P71" s="53">
        <f>IF(AND(B71="SELL",D71&gt;0),R71/D71,0)</f>
        <v/>
      </c>
      <c r="Q71" s="54">
        <f>IF(AND(B71="SELL",D71&gt;0,E71&gt;0),(D71/E71)+G71,0)</f>
        <v/>
      </c>
      <c r="R71" s="55">
        <f>IF(B71="SELL",Q71*F71,0)</f>
        <v/>
      </c>
      <c r="S71" s="35">
        <f>S70+R71</f>
        <v/>
      </c>
    </row>
    <row r="72" ht="15.75" customHeight="1" s="94">
      <c r="A72" s="36" t="n">
        <v>71</v>
      </c>
      <c r="B72" s="37" t="inlineStr">
        <is>
          <t>SELL</t>
        </is>
      </c>
      <c r="C72" s="38" t="n">
        <v>46006</v>
      </c>
      <c r="D72" s="39" t="n">
        <v>50000</v>
      </c>
      <c r="E72" s="40" t="n">
        <v>931.89</v>
      </c>
      <c r="F72" s="40" t="n">
        <v>931.89</v>
      </c>
      <c r="G72" s="41" t="n">
        <v>-51.38</v>
      </c>
      <c r="H72" s="41" t="n"/>
      <c r="I72" s="19" t="n">
        <v>524.440000000001</v>
      </c>
      <c r="J72" s="41" t="n">
        <v>411.1</v>
      </c>
      <c r="K72" s="42">
        <f>IF(AND(B72="SELL",E72&gt;0,J72&lt;&gt;""),J72/E72,0)</f>
        <v/>
      </c>
      <c r="L72" s="42" t="n">
        <v>0.422</v>
      </c>
      <c r="M72" s="40">
        <f>IF(AND(B72="SELL",L72&gt;0),D72*L72,0)</f>
        <v/>
      </c>
      <c r="N72" s="36" t="n"/>
      <c r="O72" s="43">
        <f>IF(AND(B72="SELL",G72&lt;&gt;0),Q72/ABS(G72),0)</f>
        <v/>
      </c>
      <c r="P72" s="43">
        <f>IF(AND(B72="SELL",D72&gt;0),R72/D72,0)</f>
        <v/>
      </c>
      <c r="Q72" s="44">
        <f>IF(AND(B72="SELL",D72&gt;0,E72&gt;0),(D72/E72)+G72,0)</f>
        <v/>
      </c>
      <c r="R72" s="45">
        <f>IF(B72="SELL",Q72*F72,0)</f>
        <v/>
      </c>
      <c r="S72" s="24">
        <f>S71+R72</f>
        <v/>
      </c>
    </row>
    <row r="73" ht="15.75" customHeight="1" s="94">
      <c r="A73" s="46" t="n">
        <v>72</v>
      </c>
      <c r="B73" s="47" t="inlineStr">
        <is>
          <t>SELL</t>
        </is>
      </c>
      <c r="C73" s="48" t="n">
        <v>46006</v>
      </c>
      <c r="D73" s="49" t="n">
        <v>36000</v>
      </c>
      <c r="E73" s="50" t="n">
        <v>931.89</v>
      </c>
      <c r="F73" s="50" t="n">
        <v>931.89</v>
      </c>
      <c r="G73" s="51" t="n">
        <v>-36.4</v>
      </c>
      <c r="H73" s="51" t="n"/>
      <c r="I73" s="30" t="n">
        <v>488.040000000001</v>
      </c>
      <c r="J73" s="51" t="n">
        <v>418</v>
      </c>
      <c r="K73" s="52">
        <f>IF(AND(B73="SELL",E73&gt;0,J73&lt;&gt;""),J73/E73,0)</f>
        <v/>
      </c>
      <c r="L73" s="52" t="n">
        <v>0.422</v>
      </c>
      <c r="M73" s="50">
        <f>IF(AND(B73="SELL",L73&gt;0),D73*L73,0)</f>
        <v/>
      </c>
      <c r="N73" s="46" t="n"/>
      <c r="O73" s="53">
        <f>IF(AND(B73="SELL",G73&lt;&gt;0),Q73/ABS(G73),0)</f>
        <v/>
      </c>
      <c r="P73" s="53">
        <f>IF(AND(B73="SELL",D73&gt;0),R73/D73,0)</f>
        <v/>
      </c>
      <c r="Q73" s="54">
        <f>IF(AND(B73="SELL",D73&gt;0,E73&gt;0),(D73/E73)+G73,0)</f>
        <v/>
      </c>
      <c r="R73" s="55">
        <f>IF(B73="SELL",Q73*F73,0)</f>
        <v/>
      </c>
      <c r="S73" s="35">
        <f>S72+R73</f>
        <v/>
      </c>
    </row>
    <row r="74" ht="15.75" customHeight="1" s="94">
      <c r="A74" s="36" t="n">
        <v>73</v>
      </c>
      <c r="B74" s="37" t="inlineStr">
        <is>
          <t>SELL</t>
        </is>
      </c>
      <c r="C74" s="38" t="n">
        <v>46006</v>
      </c>
      <c r="D74" s="39" t="n">
        <v>50000</v>
      </c>
      <c r="E74" s="40" t="n">
        <v>931.89</v>
      </c>
      <c r="F74" s="40" t="n">
        <v>931.89</v>
      </c>
      <c r="G74" s="41" t="n">
        <v>-50.07</v>
      </c>
      <c r="H74" s="41" t="n"/>
      <c r="I74" s="19" t="n">
        <v>437.970000000001</v>
      </c>
      <c r="J74" s="41" t="n">
        <v>17.8</v>
      </c>
      <c r="K74" s="42">
        <f>IF(AND(B74="SELL",E74&gt;0,J74&lt;&gt;""),J74/E74,0)</f>
        <v/>
      </c>
      <c r="L74" s="42" t="n">
        <v>0.0178</v>
      </c>
      <c r="M74" s="40">
        <f>IF(AND(B74="SELL",L74&gt;0),D74*L74,0)</f>
        <v/>
      </c>
      <c r="N74" s="36" t="n"/>
      <c r="O74" s="43">
        <f>IF(AND(B74="SELL",G74&lt;&gt;0),Q74/ABS(G74),0)</f>
        <v/>
      </c>
      <c r="P74" s="43">
        <f>IF(AND(B74="SELL",D74&gt;0),R74/D74,0)</f>
        <v/>
      </c>
      <c r="Q74" s="44">
        <f>IF(AND(B74="SELL",D74&gt;0,E74&gt;0),(D74/E74)+G74,0)</f>
        <v/>
      </c>
      <c r="R74" s="45">
        <f>IF(B74="SELL",Q74*F74,0)</f>
        <v/>
      </c>
      <c r="S74" s="24">
        <f>S73+R74</f>
        <v/>
      </c>
    </row>
    <row r="75" ht="15.75" customHeight="1" s="94">
      <c r="A75" s="46" t="n">
        <v>74</v>
      </c>
      <c r="B75" s="47" t="inlineStr">
        <is>
          <t>SELL</t>
        </is>
      </c>
      <c r="C75" s="48" t="n">
        <v>46006</v>
      </c>
      <c r="D75" s="49" t="n">
        <v>18000</v>
      </c>
      <c r="E75" s="50" t="n">
        <v>931.89</v>
      </c>
      <c r="F75" s="50" t="n">
        <v>931.89</v>
      </c>
      <c r="G75" s="51" t="n">
        <v>-18.01</v>
      </c>
      <c r="H75" s="51" t="n"/>
      <c r="I75" s="30" t="n">
        <v>419.960000000001</v>
      </c>
      <c r="J75" s="51" t="n">
        <v>423.019</v>
      </c>
      <c r="K75" s="52">
        <f>IF(AND(B75="SELL",E75&gt;0,J75&lt;&gt;""),J75/E75,0)</f>
        <v/>
      </c>
      <c r="L75" s="52" t="n">
        <v>0.422</v>
      </c>
      <c r="M75" s="50">
        <f>IF(AND(B75="SELL",L75&gt;0),D75*L75,0)</f>
        <v/>
      </c>
      <c r="N75" s="46" t="n"/>
      <c r="O75" s="53">
        <f>IF(AND(B75="SELL",G75&lt;&gt;0),Q75/ABS(G75),0)</f>
        <v/>
      </c>
      <c r="P75" s="53">
        <f>IF(AND(B75="SELL",D75&gt;0),R75/D75,0)</f>
        <v/>
      </c>
      <c r="Q75" s="54">
        <f>IF(AND(B75="SELL",D75&gt;0,E75&gt;0),(D75/E75)+G75,0)</f>
        <v/>
      </c>
      <c r="R75" s="55">
        <f>IF(B75="SELL",Q75*F75,0)</f>
        <v/>
      </c>
      <c r="S75" s="35">
        <f>S74+R75</f>
        <v/>
      </c>
    </row>
    <row r="76" ht="15.75" customHeight="1" s="94">
      <c r="A76" s="36" t="n">
        <v>75</v>
      </c>
      <c r="B76" s="37" t="inlineStr">
        <is>
          <t>SELL</t>
        </is>
      </c>
      <c r="C76" s="38" t="n">
        <v>46006</v>
      </c>
      <c r="D76" s="39" t="n">
        <v>55000</v>
      </c>
      <c r="E76" s="40" t="n">
        <v>931.89</v>
      </c>
      <c r="F76" s="40" t="n">
        <v>931.89</v>
      </c>
      <c r="G76" s="41" t="n">
        <v>-54.86</v>
      </c>
      <c r="H76" s="41" t="n"/>
      <c r="I76" s="19" t="n">
        <v>365.100000000001</v>
      </c>
      <c r="J76" s="41" t="n">
        <v>423.5</v>
      </c>
      <c r="K76" s="42">
        <f>IF(AND(B76="SELL",E76&gt;0,J76&lt;&gt;""),J76/E76,0)</f>
        <v/>
      </c>
      <c r="L76" s="42" t="n">
        <v>0.422</v>
      </c>
      <c r="M76" s="40">
        <f>IF(AND(B76="SELL",L76&gt;0),D76*L76,0)</f>
        <v/>
      </c>
      <c r="N76" s="36" t="n"/>
      <c r="O76" s="43">
        <f>IF(AND(B76="SELL",G76&lt;&gt;0),Q76/ABS(G76),0)</f>
        <v/>
      </c>
      <c r="P76" s="43">
        <f>IF(AND(B76="SELL",D76&gt;0),R76/D76,0)</f>
        <v/>
      </c>
      <c r="Q76" s="44">
        <f>IF(AND(B76="SELL",D76&gt;0,E76&gt;0),(D76/E76)+G76,0)</f>
        <v/>
      </c>
      <c r="R76" s="45">
        <f>IF(B76="SELL",Q76*F76,0)</f>
        <v/>
      </c>
      <c r="S76" s="24">
        <f>S75+R76</f>
        <v/>
      </c>
    </row>
    <row r="77" ht="15.75" customHeight="1" s="94">
      <c r="A77" s="46" t="n">
        <v>76</v>
      </c>
      <c r="B77" s="47" t="inlineStr">
        <is>
          <t>SELL</t>
        </is>
      </c>
      <c r="C77" s="48" t="n">
        <v>46007</v>
      </c>
      <c r="D77" s="49" t="n">
        <v>39000</v>
      </c>
      <c r="E77" s="50" t="n">
        <v>931.89</v>
      </c>
      <c r="F77" s="50" t="n">
        <v>931.89</v>
      </c>
      <c r="G77" s="51" t="n">
        <v>-39.3</v>
      </c>
      <c r="H77" s="51" t="n"/>
      <c r="I77" s="30" t="n">
        <v>325.800000000001</v>
      </c>
      <c r="J77" s="51" t="n">
        <v>432.3</v>
      </c>
      <c r="K77" s="52">
        <f>IF(AND(B77="SELL",E77&gt;0,J77&lt;&gt;""),J77/E77,0)</f>
        <v/>
      </c>
      <c r="L77" s="52" t="n">
        <v>0.435</v>
      </c>
      <c r="M77" s="50">
        <f>IF(AND(B77="SELL",L77&gt;0),D77*L77,0)</f>
        <v/>
      </c>
      <c r="N77" s="46" t="n"/>
      <c r="O77" s="53">
        <f>IF(AND(B77="SELL",G77&lt;&gt;0),Q77/ABS(G77),0)</f>
        <v/>
      </c>
      <c r="P77" s="53">
        <f>IF(AND(B77="SELL",D77&gt;0),R77/D77,0)</f>
        <v/>
      </c>
      <c r="Q77" s="54">
        <f>IF(AND(B77="SELL",D77&gt;0,E77&gt;0),(D77/E77)+G77,0)</f>
        <v/>
      </c>
      <c r="R77" s="55">
        <f>IF(B77="SELL",Q77*F77,0)</f>
        <v/>
      </c>
      <c r="S77" s="35">
        <f>S76+R77</f>
        <v/>
      </c>
    </row>
    <row r="78" ht="15.75" customHeight="1" s="94">
      <c r="A78" s="36" t="n">
        <v>77</v>
      </c>
      <c r="B78" s="37" t="inlineStr">
        <is>
          <t>SELL</t>
        </is>
      </c>
      <c r="C78" s="38" t="n">
        <v>46007</v>
      </c>
      <c r="D78" s="39" t="n">
        <v>20000</v>
      </c>
      <c r="E78" s="40" t="n">
        <v>931.89</v>
      </c>
      <c r="F78" s="40" t="n">
        <v>931.89</v>
      </c>
      <c r="G78" s="41" t="n">
        <v>-20.49</v>
      </c>
      <c r="H78" s="41" t="n"/>
      <c r="I78" s="19" t="n">
        <v>305.310000000001</v>
      </c>
      <c r="J78" s="41" t="n">
        <v>425.809</v>
      </c>
      <c r="K78" s="42">
        <f>IF(AND(B78="SELL",E78&gt;0,J78&lt;&gt;""),J78/E78,0)</f>
        <v/>
      </c>
      <c r="L78" s="42" t="n">
        <v>0.435</v>
      </c>
      <c r="M78" s="40">
        <f>IF(AND(B78="SELL",L78&gt;0),D78*L78,0)</f>
        <v/>
      </c>
      <c r="N78" s="36" t="n"/>
      <c r="O78" s="43">
        <f>IF(AND(B78="SELL",G78&lt;&gt;0),Q78/ABS(G78),0)</f>
        <v/>
      </c>
      <c r="P78" s="43">
        <f>IF(AND(B78="SELL",D78&gt;0),R78/D78,0)</f>
        <v/>
      </c>
      <c r="Q78" s="44">
        <f>IF(AND(B78="SELL",D78&gt;0,E78&gt;0),(D78/E78)+G78,0)</f>
        <v/>
      </c>
      <c r="R78" s="45">
        <f>IF(B78="SELL",Q78*F78,0)</f>
        <v/>
      </c>
      <c r="S78" s="24">
        <f>S77+R78</f>
        <v/>
      </c>
    </row>
    <row r="79" ht="15.75" customHeight="1" s="94">
      <c r="A79" s="46" t="n">
        <v>78</v>
      </c>
      <c r="B79" s="47" t="inlineStr">
        <is>
          <t>SELL</t>
        </is>
      </c>
      <c r="C79" s="48" t="n">
        <v>46007</v>
      </c>
      <c r="D79" s="49" t="n">
        <v>96000</v>
      </c>
      <c r="E79" s="50" t="n">
        <v>931.89</v>
      </c>
      <c r="F79" s="50" t="n">
        <v>931.89</v>
      </c>
      <c r="G79" s="51" t="n">
        <v>-96.5</v>
      </c>
      <c r="H79" s="51" t="n"/>
      <c r="I79" s="30" t="n">
        <v>208.810000000001</v>
      </c>
      <c r="J79" s="51" t="n">
        <v>433</v>
      </c>
      <c r="K79" s="52">
        <f>IF(AND(B79="SELL",E79&gt;0,J79&lt;&gt;""),J79/E79,0)</f>
        <v/>
      </c>
      <c r="L79" s="52" t="n">
        <v>0.435</v>
      </c>
      <c r="M79" s="50">
        <f>IF(AND(B79="SELL",L79&gt;0),D79*L79,0)</f>
        <v/>
      </c>
      <c r="N79" s="46" t="n"/>
      <c r="O79" s="53">
        <f>IF(AND(B79="SELL",G79&lt;&gt;0),Q79/ABS(G79),0)</f>
        <v/>
      </c>
      <c r="P79" s="53">
        <f>IF(AND(B79="SELL",D79&gt;0),R79/D79,0)</f>
        <v/>
      </c>
      <c r="Q79" s="54">
        <f>IF(AND(B79="SELL",D79&gt;0,E79&gt;0),(D79/E79)+G79,0)</f>
        <v/>
      </c>
      <c r="R79" s="55">
        <f>IF(B79="SELL",Q79*F79,0)</f>
        <v/>
      </c>
      <c r="S79" s="35">
        <f>S78+R79</f>
        <v/>
      </c>
    </row>
    <row r="80" ht="15.75" customHeight="1" s="94">
      <c r="A80" s="36" t="n">
        <v>79</v>
      </c>
      <c r="B80" s="37" t="inlineStr">
        <is>
          <t>SELL</t>
        </is>
      </c>
      <c r="C80" s="38" t="n">
        <v>46007</v>
      </c>
      <c r="D80" s="39" t="n">
        <v>222988.5</v>
      </c>
      <c r="E80" s="40" t="n">
        <v>931.89</v>
      </c>
      <c r="F80" s="40" t="n">
        <v>931.89</v>
      </c>
      <c r="G80" s="41" t="n">
        <v>-222.79</v>
      </c>
      <c r="H80" s="41" t="n"/>
      <c r="I80" s="19" t="n">
        <v>-13.9799999999994</v>
      </c>
      <c r="J80" s="41" t="n">
        <v>435.5</v>
      </c>
      <c r="K80" s="42">
        <f>IF(AND(B80="SELL",E80&gt;0,J80&lt;&gt;""),J80/E80,0)</f>
        <v/>
      </c>
      <c r="L80" s="42" t="n">
        <v>0.435</v>
      </c>
      <c r="M80" s="40">
        <f>IF(AND(B80="SELL",L80&gt;0),D80*L80,0)</f>
        <v/>
      </c>
      <c r="N80" s="36" t="n"/>
      <c r="O80" s="43">
        <f>IF(AND(B80="SELL",G80&lt;&gt;0),Q80/ABS(G80),0)</f>
        <v/>
      </c>
      <c r="P80" s="43">
        <f>IF(AND(B80="SELL",D80&gt;0),R80/D80,0)</f>
        <v/>
      </c>
      <c r="Q80" s="44">
        <f>IF(AND(B80="SELL",D80&gt;0,E80&gt;0),(D80/E80)+G80,0)</f>
        <v/>
      </c>
      <c r="R80" s="45">
        <f>IF(B80="SELL",Q80*F80,0)</f>
        <v/>
      </c>
      <c r="S80" s="24">
        <f>S79+R80</f>
        <v/>
      </c>
    </row>
    <row r="81" ht="15.75" customHeight="1" s="94">
      <c r="A81" s="25" t="n">
        <v>80</v>
      </c>
      <c r="B81" s="26" t="inlineStr">
        <is>
          <t>BUY</t>
        </is>
      </c>
      <c r="C81" s="27" t="n">
        <v>46007</v>
      </c>
      <c r="D81" s="28" t="n">
        <v>2128700</v>
      </c>
      <c r="E81" s="29" t="n">
        <v>918.6900000000001</v>
      </c>
      <c r="F81" s="29" t="n">
        <v>918.6900000000001</v>
      </c>
      <c r="G81" s="30" t="n">
        <v>2317.03</v>
      </c>
      <c r="H81" s="30" t="n"/>
      <c r="I81" s="30" t="n">
        <v>2303.05</v>
      </c>
      <c r="J81" s="30" t="n"/>
      <c r="K81" s="31">
        <f>IF(AND(B81="SELL",E81&gt;0,J81&lt;&gt;""),J81/E81,0)</f>
        <v/>
      </c>
      <c r="L81" s="31" t="n">
        <v>0</v>
      </c>
      <c r="M81" s="29">
        <f>IF(AND(B81="SELL",L81&gt;0),D81*L81,0)</f>
        <v/>
      </c>
      <c r="N81" s="25" t="n"/>
      <c r="O81" s="32">
        <f>IF(AND(B81="SELL",G81&lt;&gt;0),Q81/ABS(G81),0)</f>
        <v/>
      </c>
      <c r="P81" s="32">
        <f>IF(AND(B81="SELL",D81&gt;0),R81/D81,0)</f>
        <v/>
      </c>
      <c r="Q81" s="33">
        <f>IF(AND(B81="SELL",D81&gt;0,E81&gt;0),(D81/E81)+G81,0)</f>
        <v/>
      </c>
      <c r="R81" s="34">
        <f>IF(B81="SELL",Q81*F81,0)</f>
        <v/>
      </c>
      <c r="S81" s="35">
        <f>S80+R81</f>
        <v/>
      </c>
    </row>
    <row r="82" ht="15.75" customHeight="1" s="94">
      <c r="A82" s="36" t="n">
        <v>81</v>
      </c>
      <c r="B82" s="37" t="inlineStr">
        <is>
          <t>SELL</t>
        </is>
      </c>
      <c r="C82" s="38" t="n">
        <v>46007</v>
      </c>
      <c r="D82" s="39" t="n">
        <v>27586.2</v>
      </c>
      <c r="E82" s="40" t="n">
        <v>918.6900000000001</v>
      </c>
      <c r="F82" s="40" t="n">
        <v>918.6900000000001</v>
      </c>
      <c r="G82" s="41" t="n">
        <v>-27.76</v>
      </c>
      <c r="H82" s="41" t="n"/>
      <c r="I82" s="19" t="n">
        <v>2275.29</v>
      </c>
      <c r="J82" s="41" t="n">
        <v>433.111</v>
      </c>
      <c r="K82" s="42">
        <f>IF(AND(B82="SELL",E82&gt;0,J82&lt;&gt;""),J82/E82,0)</f>
        <v/>
      </c>
      <c r="L82" s="42" t="n">
        <v>0.435</v>
      </c>
      <c r="M82" s="40">
        <f>IF(AND(B82="SELL",L82&gt;0),D82*L82,0)</f>
        <v/>
      </c>
      <c r="N82" s="36" t="n"/>
      <c r="O82" s="43">
        <f>IF(AND(B82="SELL",G82&lt;&gt;0),Q82/ABS(G82),0)</f>
        <v/>
      </c>
      <c r="P82" s="43">
        <f>IF(AND(B82="SELL",D82&gt;0),R82/D82,0)</f>
        <v/>
      </c>
      <c r="Q82" s="44">
        <f>IF(AND(B82="SELL",D82&gt;0,E82&gt;0),(D82/E82)+G82,0)</f>
        <v/>
      </c>
      <c r="R82" s="45">
        <f>IF(B82="SELL",Q82*F82,0)</f>
        <v/>
      </c>
      <c r="S82" s="24">
        <f>S81+R82</f>
        <v/>
      </c>
    </row>
    <row r="83" ht="15.75" customHeight="1" s="94">
      <c r="A83" s="46" t="n">
        <v>82</v>
      </c>
      <c r="B83" s="47" t="inlineStr">
        <is>
          <t>SELL</t>
        </is>
      </c>
      <c r="C83" s="48" t="n">
        <v>46008</v>
      </c>
      <c r="D83" s="49" t="n">
        <v>86000</v>
      </c>
      <c r="E83" s="50" t="n">
        <v>918.6900000000001</v>
      </c>
      <c r="F83" s="50" t="n">
        <v>918.6900000000001</v>
      </c>
      <c r="G83" s="51" t="n">
        <v>-88.16</v>
      </c>
      <c r="H83" s="51" t="n"/>
      <c r="I83" s="30" t="n">
        <v>2187.13</v>
      </c>
      <c r="J83" s="51" t="n">
        <v>436</v>
      </c>
      <c r="K83" s="52">
        <f>IF(AND(B83="SELL",E83&gt;0,J83&lt;&gt;""),J83/E83,0)</f>
        <v/>
      </c>
      <c r="L83" s="52" t="n">
        <v>0.447</v>
      </c>
      <c r="M83" s="50">
        <f>IF(AND(B83="SELL",L83&gt;0),D83*L83,0)</f>
        <v/>
      </c>
      <c r="N83" s="46" t="n"/>
      <c r="O83" s="53">
        <f>IF(AND(B83="SELL",G83&lt;&gt;0),Q83/ABS(G83),0)</f>
        <v/>
      </c>
      <c r="P83" s="53">
        <f>IF(AND(B83="SELL",D83&gt;0),R83/D83,0)</f>
        <v/>
      </c>
      <c r="Q83" s="54">
        <f>IF(AND(B83="SELL",D83&gt;0,E83&gt;0),(D83/E83)+G83,0)</f>
        <v/>
      </c>
      <c r="R83" s="55">
        <f>IF(B83="SELL",Q83*F83,0)</f>
        <v/>
      </c>
      <c r="S83" s="35">
        <f>S82+R83</f>
        <v/>
      </c>
    </row>
    <row r="84" ht="15.75" customHeight="1" s="94">
      <c r="A84" s="36" t="n">
        <v>83</v>
      </c>
      <c r="B84" s="37" t="inlineStr">
        <is>
          <t>SELL</t>
        </is>
      </c>
      <c r="C84" s="38" t="n">
        <v>46008</v>
      </c>
      <c r="D84" s="39" t="n">
        <v>60000</v>
      </c>
      <c r="E84" s="40" t="n">
        <v>918.6900000000001</v>
      </c>
      <c r="F84" s="40" t="n">
        <v>918.6900000000001</v>
      </c>
      <c r="G84" s="41" t="n">
        <v>-60.98</v>
      </c>
      <c r="H84" s="41" t="n"/>
      <c r="I84" s="19" t="n">
        <v>2126.15</v>
      </c>
      <c r="J84" s="41" t="n">
        <v>439.752</v>
      </c>
      <c r="K84" s="42">
        <f>IF(AND(B84="SELL",E84&gt;0,J84&lt;&gt;""),J84/E84,0)</f>
        <v/>
      </c>
      <c r="L84" s="42" t="n">
        <v>0.447</v>
      </c>
      <c r="M84" s="40">
        <f>IF(AND(B84="SELL",L84&gt;0),D84*L84,0)</f>
        <v/>
      </c>
      <c r="N84" s="36" t="n"/>
      <c r="O84" s="43">
        <f>IF(AND(B84="SELL",G84&lt;&gt;0),Q84/ABS(G84),0)</f>
        <v/>
      </c>
      <c r="P84" s="43">
        <f>IF(AND(B84="SELL",D84&gt;0),R84/D84,0)</f>
        <v/>
      </c>
      <c r="Q84" s="44">
        <f>IF(AND(B84="SELL",D84&gt;0,E84&gt;0),(D84/E84)+G84,0)</f>
        <v/>
      </c>
      <c r="R84" s="45">
        <f>IF(B84="SELL",Q84*F84,0)</f>
        <v/>
      </c>
      <c r="S84" s="24">
        <f>S83+R84</f>
        <v/>
      </c>
    </row>
    <row r="85" ht="15.75" customHeight="1" s="94">
      <c r="A85" s="46" t="n">
        <v>84</v>
      </c>
      <c r="B85" s="47" t="inlineStr">
        <is>
          <t>SELL</t>
        </is>
      </c>
      <c r="C85" s="48" t="n">
        <v>46008</v>
      </c>
      <c r="D85" s="49" t="n">
        <v>10000</v>
      </c>
      <c r="E85" s="50" t="n">
        <v>918.6900000000001</v>
      </c>
      <c r="F85" s="50" t="n">
        <v>918.6900000000001</v>
      </c>
      <c r="G85" s="51" t="n">
        <v>-10.23</v>
      </c>
      <c r="H85" s="51" t="n"/>
      <c r="I85" s="30" t="n">
        <v>2115.92</v>
      </c>
      <c r="J85" s="51" t="n">
        <v>436.525</v>
      </c>
      <c r="K85" s="52">
        <f>IF(AND(B85="SELL",E85&gt;0,J85&lt;&gt;""),J85/E85,0)</f>
        <v/>
      </c>
      <c r="L85" s="52" t="n">
        <v>0.447</v>
      </c>
      <c r="M85" s="50">
        <f>IF(AND(B85="SELL",L85&gt;0),D85*L85,0)</f>
        <v/>
      </c>
      <c r="N85" s="46" t="n"/>
      <c r="O85" s="53">
        <f>IF(AND(B85="SELL",G85&lt;&gt;0),Q85/ABS(G85),0)</f>
        <v/>
      </c>
      <c r="P85" s="53">
        <f>IF(AND(B85="SELL",D85&gt;0),R85/D85,0)</f>
        <v/>
      </c>
      <c r="Q85" s="54">
        <f>IF(AND(B85="SELL",D85&gt;0,E85&gt;0),(D85/E85)+G85,0)</f>
        <v/>
      </c>
      <c r="R85" s="55">
        <f>IF(B85="SELL",Q85*F85,0)</f>
        <v/>
      </c>
      <c r="S85" s="35">
        <f>S84+R85</f>
        <v/>
      </c>
    </row>
    <row r="86" ht="15.75" customHeight="1" s="94">
      <c r="A86" s="36" t="n">
        <v>85</v>
      </c>
      <c r="B86" s="37" t="inlineStr">
        <is>
          <t>SELL</t>
        </is>
      </c>
      <c r="C86" s="38" t="n">
        <v>46009</v>
      </c>
      <c r="D86" s="39" t="n">
        <v>250000</v>
      </c>
      <c r="E86" s="40" t="n">
        <v>918.6900000000001</v>
      </c>
      <c r="F86" s="40" t="n">
        <v>918.6900000000001</v>
      </c>
      <c r="G86" s="41" t="n">
        <v>-252.6</v>
      </c>
      <c r="H86" s="41" t="n"/>
      <c r="I86" s="19" t="n">
        <v>1863.32</v>
      </c>
      <c r="J86" s="41" t="n">
        <v>3.365</v>
      </c>
      <c r="K86" s="42">
        <f>IF(AND(B86="SELL",E86&gt;0,J86&lt;&gt;""),J86/E86,0)</f>
        <v/>
      </c>
      <c r="L86" s="42" t="n">
        <v>0.0034</v>
      </c>
      <c r="M86" s="40">
        <f>IF(AND(B86="SELL",L86&gt;0),D86*L86,0)</f>
        <v/>
      </c>
      <c r="N86" s="36" t="n"/>
      <c r="O86" s="43">
        <f>IF(AND(B86="SELL",G86&lt;&gt;0),Q86/ABS(G86),0)</f>
        <v/>
      </c>
      <c r="P86" s="43">
        <f>IF(AND(B86="SELL",D86&gt;0),R86/D86,0)</f>
        <v/>
      </c>
      <c r="Q86" s="44">
        <f>IF(AND(B86="SELL",D86&gt;0,E86&gt;0),(D86/E86)+G86,0)</f>
        <v/>
      </c>
      <c r="R86" s="45">
        <f>IF(B86="SELL",Q86*F86,0)</f>
        <v/>
      </c>
      <c r="S86" s="24">
        <f>S85+R86</f>
        <v/>
      </c>
    </row>
    <row r="87" ht="15.75" customHeight="1" s="94">
      <c r="A87" s="46" t="n">
        <v>86</v>
      </c>
      <c r="B87" s="47" t="inlineStr">
        <is>
          <t>SELL</t>
        </is>
      </c>
      <c r="C87" s="48" t="n">
        <v>46009</v>
      </c>
      <c r="D87" s="49" t="n">
        <v>230000</v>
      </c>
      <c r="E87" s="50" t="n">
        <v>918.6900000000001</v>
      </c>
      <c r="F87" s="50" t="n">
        <v>918.6900000000001</v>
      </c>
      <c r="G87" s="51" t="n">
        <v>-233.43</v>
      </c>
      <c r="H87" s="51" t="n"/>
      <c r="I87" s="30" t="n">
        <v>1629.89</v>
      </c>
      <c r="J87" s="51" t="n">
        <v>3.35</v>
      </c>
      <c r="K87" s="52">
        <f>IF(AND(B87="SELL",E87&gt;0,J87&lt;&gt;""),J87/E87,0)</f>
        <v/>
      </c>
      <c r="L87" s="52" t="n">
        <v>0.0034</v>
      </c>
      <c r="M87" s="50">
        <f>IF(AND(B87="SELL",L87&gt;0),D87*L87,0)</f>
        <v/>
      </c>
      <c r="N87" s="46" t="n"/>
      <c r="O87" s="53">
        <f>IF(AND(B87="SELL",G87&lt;&gt;0),Q87/ABS(G87),0)</f>
        <v/>
      </c>
      <c r="P87" s="53">
        <f>IF(AND(B87="SELL",D87&gt;0),R87/D87,0)</f>
        <v/>
      </c>
      <c r="Q87" s="54">
        <f>IF(AND(B87="SELL",D87&gt;0,E87&gt;0),(D87/E87)+G87,0)</f>
        <v/>
      </c>
      <c r="R87" s="55">
        <f>IF(B87="SELL",Q87*F87,0)</f>
        <v/>
      </c>
      <c r="S87" s="35">
        <f>S86+R87</f>
        <v/>
      </c>
    </row>
    <row r="88" ht="15.75" customHeight="1" s="94">
      <c r="A88" s="36" t="n">
        <v>87</v>
      </c>
      <c r="B88" s="37" t="inlineStr">
        <is>
          <t>SELL</t>
        </is>
      </c>
      <c r="C88" s="38" t="n">
        <v>46009</v>
      </c>
      <c r="D88" s="39" t="n">
        <v>50000</v>
      </c>
      <c r="E88" s="40" t="n">
        <v>918.6900000000001</v>
      </c>
      <c r="F88" s="40" t="n">
        <v>918.6900000000001</v>
      </c>
      <c r="G88" s="41" t="n">
        <v>-49.01</v>
      </c>
      <c r="H88" s="41" t="n"/>
      <c r="I88" s="19" t="n">
        <v>1580.88</v>
      </c>
      <c r="J88" s="41" t="n">
        <v>473.3</v>
      </c>
      <c r="K88" s="42">
        <f>IF(AND(B88="SELL",E88&gt;0,J88&lt;&gt;""),J88/E88,0)</f>
        <v/>
      </c>
      <c r="L88" s="42" t="n">
        <v>0.464</v>
      </c>
      <c r="M88" s="40">
        <f>IF(AND(B88="SELL",L88&gt;0),D88*L88,0)</f>
        <v/>
      </c>
      <c r="N88" s="36" t="n"/>
      <c r="O88" s="43">
        <f>IF(AND(B88="SELL",G88&lt;&gt;0),Q88/ABS(G88),0)</f>
        <v/>
      </c>
      <c r="P88" s="43">
        <f>IF(AND(B88="SELL",D88&gt;0),R88/D88,0)</f>
        <v/>
      </c>
      <c r="Q88" s="44">
        <f>IF(AND(B88="SELL",D88&gt;0,E88&gt;0),(D88/E88)+G88,0)</f>
        <v/>
      </c>
      <c r="R88" s="45">
        <f>IF(B88="SELL",Q88*F88,0)</f>
        <v/>
      </c>
      <c r="S88" s="24">
        <f>S87+R88</f>
        <v/>
      </c>
    </row>
    <row r="89" ht="15.75" customHeight="1" s="94">
      <c r="A89" s="46" t="n">
        <v>88</v>
      </c>
      <c r="B89" s="47" t="inlineStr">
        <is>
          <t>SELL</t>
        </is>
      </c>
      <c r="C89" s="48" t="n">
        <v>46009</v>
      </c>
      <c r="D89" s="49" t="n">
        <v>150000</v>
      </c>
      <c r="E89" s="50" t="n">
        <v>918.6900000000001</v>
      </c>
      <c r="F89" s="50" t="n">
        <v>918.6900000000001</v>
      </c>
      <c r="G89" s="51" t="n">
        <v>-145</v>
      </c>
      <c r="H89" s="51" t="n"/>
      <c r="I89" s="30" t="n">
        <v>1435.88</v>
      </c>
      <c r="J89" s="51" t="n">
        <v>480</v>
      </c>
      <c r="K89" s="52">
        <f>IF(AND(B89="SELL",E89&gt;0,J89&lt;&gt;""),J89/E89,0)</f>
        <v/>
      </c>
      <c r="L89" s="52" t="n">
        <v>0.464</v>
      </c>
      <c r="M89" s="50">
        <f>IF(AND(B89="SELL",L89&gt;0),D89*L89,0)</f>
        <v/>
      </c>
      <c r="N89" s="46" t="n"/>
      <c r="O89" s="53">
        <f>IF(AND(B89="SELL",G89&lt;&gt;0),Q89/ABS(G89),0)</f>
        <v/>
      </c>
      <c r="P89" s="53">
        <f>IF(AND(B89="SELL",D89&gt;0),R89/D89,0)</f>
        <v/>
      </c>
      <c r="Q89" s="54">
        <f>IF(AND(B89="SELL",D89&gt;0,E89&gt;0),(D89/E89)+G89,0)</f>
        <v/>
      </c>
      <c r="R89" s="55">
        <f>IF(B89="SELL",Q89*F89,0)</f>
        <v/>
      </c>
      <c r="S89" s="35">
        <f>S88+R89</f>
        <v/>
      </c>
    </row>
    <row r="90" ht="15.75" customHeight="1" s="94">
      <c r="A90" s="36" t="n">
        <v>89</v>
      </c>
      <c r="B90" s="37" t="inlineStr">
        <is>
          <t>SELL</t>
        </is>
      </c>
      <c r="C90" s="38" t="n">
        <v>46009</v>
      </c>
      <c r="D90" s="39" t="n">
        <v>20000</v>
      </c>
      <c r="E90" s="40" t="n">
        <v>918.6900000000001</v>
      </c>
      <c r="F90" s="40" t="n">
        <v>918.6900000000001</v>
      </c>
      <c r="G90" s="41" t="n">
        <v>-19.45</v>
      </c>
      <c r="H90" s="41" t="n"/>
      <c r="I90" s="19" t="n">
        <v>1416.43</v>
      </c>
      <c r="J90" s="41" t="n">
        <v>477</v>
      </c>
      <c r="K90" s="42">
        <f>IF(AND(B90="SELL",E90&gt;0,J90&lt;&gt;""),J90/E90,0)</f>
        <v/>
      </c>
      <c r="L90" s="42" t="n">
        <v>0.464</v>
      </c>
      <c r="M90" s="40">
        <f>IF(AND(B90="SELL",L90&gt;0),D90*L90,0)</f>
        <v/>
      </c>
      <c r="N90" s="36" t="n"/>
      <c r="O90" s="43">
        <f>IF(AND(B90="SELL",G90&lt;&gt;0),Q90/ABS(G90),0)</f>
        <v/>
      </c>
      <c r="P90" s="43">
        <f>IF(AND(B90="SELL",D90&gt;0),R90/D90,0)</f>
        <v/>
      </c>
      <c r="Q90" s="44">
        <f>IF(AND(B90="SELL",D90&gt;0,E90&gt;0),(D90/E90)+G90,0)</f>
        <v/>
      </c>
      <c r="R90" s="45">
        <f>IF(B90="SELL",Q90*F90,0)</f>
        <v/>
      </c>
      <c r="S90" s="24">
        <f>S89+R90</f>
        <v/>
      </c>
    </row>
    <row r="91" ht="15.75" customHeight="1" s="94">
      <c r="A91" s="46" t="n">
        <v>90</v>
      </c>
      <c r="B91" s="47" t="inlineStr">
        <is>
          <t>SELL</t>
        </is>
      </c>
      <c r="C91" s="48" t="n">
        <v>46009</v>
      </c>
      <c r="D91" s="49" t="n">
        <v>10000</v>
      </c>
      <c r="E91" s="50" t="n">
        <v>918.6900000000001</v>
      </c>
      <c r="F91" s="50" t="n">
        <v>918.6900000000001</v>
      </c>
      <c r="G91" s="51" t="n">
        <v>-9.76</v>
      </c>
      <c r="H91" s="51" t="n"/>
      <c r="I91" s="30" t="n">
        <v>1406.67</v>
      </c>
      <c r="J91" s="51" t="n">
        <v>475</v>
      </c>
      <c r="K91" s="52">
        <f>IF(AND(B91="SELL",E91&gt;0,J91&lt;&gt;""),J91/E91,0)</f>
        <v/>
      </c>
      <c r="L91" s="52" t="n">
        <v>0.464</v>
      </c>
      <c r="M91" s="50">
        <f>IF(AND(B91="SELL",L91&gt;0),D91*L91,0)</f>
        <v/>
      </c>
      <c r="N91" s="46" t="n"/>
      <c r="O91" s="53">
        <f>IF(AND(B91="SELL",G91&lt;&gt;0),Q91/ABS(G91),0)</f>
        <v/>
      </c>
      <c r="P91" s="53">
        <f>IF(AND(B91="SELL",D91&gt;0),R91/D91,0)</f>
        <v/>
      </c>
      <c r="Q91" s="54">
        <f>IF(AND(B91="SELL",D91&gt;0,E91&gt;0),(D91/E91)+G91,0)</f>
        <v/>
      </c>
      <c r="R91" s="55">
        <f>IF(B91="SELL",Q91*F91,0)</f>
        <v/>
      </c>
      <c r="S91" s="35">
        <f>S90+R91</f>
        <v/>
      </c>
    </row>
    <row r="92" ht="15.75" customHeight="1" s="94">
      <c r="A92" s="36" t="n">
        <v>91</v>
      </c>
      <c r="B92" s="37" t="inlineStr">
        <is>
          <t>SELL</t>
        </is>
      </c>
      <c r="C92" s="38" t="n">
        <v>46010</v>
      </c>
      <c r="D92" s="39" t="n">
        <v>240000</v>
      </c>
      <c r="E92" s="40" t="n">
        <v>918.6900000000001</v>
      </c>
      <c r="F92" s="40" t="n">
        <v>918.6900000000001</v>
      </c>
      <c r="G92" s="41" t="n">
        <v>-277</v>
      </c>
      <c r="H92" s="41" t="n"/>
      <c r="I92" s="19" t="n">
        <v>1129.67</v>
      </c>
      <c r="J92" s="41" t="n">
        <v>914.2</v>
      </c>
      <c r="K92" s="42">
        <f>IF(AND(B92="SELL",E92&gt;0,J92&lt;&gt;""),J92/E92,0)</f>
        <v/>
      </c>
      <c r="L92" s="42" t="n">
        <v>0.0011544544625437</v>
      </c>
      <c r="M92" s="40">
        <f>IF(AND(B92="SELL",L92&gt;0),D92*L92,0)</f>
        <v/>
      </c>
      <c r="N92" s="36" t="inlineStr">
        <is>
          <t>cambio usdt</t>
        </is>
      </c>
      <c r="O92" s="43">
        <f>IF(AND(B92="SELL",G92&lt;&gt;0),Q92/ABS(G92),0)</f>
        <v/>
      </c>
      <c r="P92" s="43">
        <f>IF(AND(B92="SELL",D92&gt;0),R92/D92,0)</f>
        <v/>
      </c>
      <c r="Q92" s="44">
        <f>IF(AND(B92="SELL",D92&gt;0,E92&gt;0),(D92/E92)+G92,0)</f>
        <v/>
      </c>
      <c r="R92" s="45">
        <f>IF(B92="SELL",Q92*F92,0)</f>
        <v/>
      </c>
      <c r="S92" s="24">
        <f>S91+R92</f>
        <v/>
      </c>
    </row>
    <row r="93" ht="15.75" customHeight="1" s="94">
      <c r="A93" s="46" t="n">
        <v>92</v>
      </c>
      <c r="B93" s="47" t="inlineStr">
        <is>
          <t>SELL</t>
        </is>
      </c>
      <c r="C93" s="48" t="n">
        <v>46010</v>
      </c>
      <c r="D93" s="49" t="n">
        <v>34000</v>
      </c>
      <c r="E93" s="50" t="n">
        <v>918.6900000000001</v>
      </c>
      <c r="F93" s="50" t="n">
        <v>918.6900000000001</v>
      </c>
      <c r="G93" s="51" t="n">
        <v>-35.81</v>
      </c>
      <c r="H93" s="51" t="n"/>
      <c r="I93" s="30" t="n">
        <v>1093.86</v>
      </c>
      <c r="J93" s="51" t="n">
        <v>469.87</v>
      </c>
      <c r="K93" s="52">
        <f>IF(AND(B93="SELL",E93&gt;0,J93&lt;&gt;""),J93/E93,0)</f>
        <v/>
      </c>
      <c r="L93" s="52" t="n">
        <v>0.495</v>
      </c>
      <c r="M93" s="50">
        <f>IF(AND(B93="SELL",L93&gt;0),D93*L93,0)</f>
        <v/>
      </c>
      <c r="N93" s="46" t="n"/>
      <c r="O93" s="53">
        <f>IF(AND(B93="SELL",G93&lt;&gt;0),Q93/ABS(G93),0)</f>
        <v/>
      </c>
      <c r="P93" s="53">
        <f>IF(AND(B93="SELL",D93&gt;0),R93/D93,0)</f>
        <v/>
      </c>
      <c r="Q93" s="54">
        <f>IF(AND(B93="SELL",D93&gt;0,E93&gt;0),(D93/E93)+G93,0)</f>
        <v/>
      </c>
      <c r="R93" s="55">
        <f>IF(B93="SELL",Q93*F93,0)</f>
        <v/>
      </c>
      <c r="S93" s="35">
        <f>S92+R93</f>
        <v/>
      </c>
    </row>
    <row r="94" ht="15.75" customHeight="1" s="94">
      <c r="A94" s="36" t="n">
        <v>93</v>
      </c>
      <c r="B94" s="37" t="inlineStr">
        <is>
          <t>SELL</t>
        </is>
      </c>
      <c r="C94" s="38" t="n">
        <v>46010</v>
      </c>
      <c r="D94" s="39" t="n">
        <v>70000</v>
      </c>
      <c r="E94" s="40" t="n">
        <v>918.6900000000001</v>
      </c>
      <c r="F94" s="40" t="n">
        <v>918.6900000000001</v>
      </c>
      <c r="G94" s="41" t="n">
        <v>-73.13</v>
      </c>
      <c r="H94" s="41" t="n"/>
      <c r="I94" s="19" t="n">
        <v>1020.73</v>
      </c>
      <c r="J94" s="41" t="n">
        <v>473.801</v>
      </c>
      <c r="K94" s="42">
        <f>IF(AND(B94="SELL",E94&gt;0,J94&lt;&gt;""),J94/E94,0)</f>
        <v/>
      </c>
      <c r="L94" s="42" t="n">
        <v>0.495</v>
      </c>
      <c r="M94" s="40">
        <f>IF(AND(B94="SELL",L94&gt;0),D94*L94,0)</f>
        <v/>
      </c>
      <c r="N94" s="36" t="n"/>
      <c r="O94" s="43">
        <f>IF(AND(B94="SELL",G94&lt;&gt;0),Q94/ABS(G94),0)</f>
        <v/>
      </c>
      <c r="P94" s="43">
        <f>IF(AND(B94="SELL",D94&gt;0),R94/D94,0)</f>
        <v/>
      </c>
      <c r="Q94" s="44">
        <f>IF(AND(B94="SELL",D94&gt;0,E94&gt;0),(D94/E94)+G94,0)</f>
        <v/>
      </c>
      <c r="R94" s="45">
        <f>IF(B94="SELL",Q94*F94,0)</f>
        <v/>
      </c>
      <c r="S94" s="24">
        <f>S93+R94</f>
        <v/>
      </c>
    </row>
    <row r="95" ht="15.75" customHeight="1" s="94">
      <c r="A95" s="46" t="n">
        <v>94</v>
      </c>
      <c r="B95" s="47" t="inlineStr">
        <is>
          <t>SELL</t>
        </is>
      </c>
      <c r="C95" s="48" t="n">
        <v>46010</v>
      </c>
      <c r="D95" s="49" t="n">
        <v>30000</v>
      </c>
      <c r="E95" s="50" t="n">
        <v>918.6900000000001</v>
      </c>
      <c r="F95" s="50" t="n">
        <v>918.6900000000001</v>
      </c>
      <c r="G95" s="51" t="n">
        <v>-31.73</v>
      </c>
      <c r="H95" s="51" t="n"/>
      <c r="I95" s="30" t="n">
        <v>989.000000000001</v>
      </c>
      <c r="J95" s="51" t="n">
        <v>468</v>
      </c>
      <c r="K95" s="52">
        <f>IF(AND(B95="SELL",E95&gt;0,J95&lt;&gt;""),J95/E95,0)</f>
        <v/>
      </c>
      <c r="L95" s="52" t="n">
        <v>0.495</v>
      </c>
      <c r="M95" s="50">
        <f>IF(AND(B95="SELL",L95&gt;0),D95*L95,0)</f>
        <v/>
      </c>
      <c r="N95" s="46" t="n"/>
      <c r="O95" s="53">
        <f>IF(AND(B95="SELL",G95&lt;&gt;0),Q95/ABS(G95),0)</f>
        <v/>
      </c>
      <c r="P95" s="53">
        <f>IF(AND(B95="SELL",D95&gt;0),R95/D95,0)</f>
        <v/>
      </c>
      <c r="Q95" s="54">
        <f>IF(AND(B95="SELL",D95&gt;0,E95&gt;0),(D95/E95)+G95,0)</f>
        <v/>
      </c>
      <c r="R95" s="55">
        <f>IF(B95="SELL",Q95*F95,0)</f>
        <v/>
      </c>
      <c r="S95" s="35">
        <f>S94+R95</f>
        <v/>
      </c>
    </row>
    <row r="96" ht="15.75" customHeight="1" s="94">
      <c r="A96" s="36" t="n">
        <v>95</v>
      </c>
      <c r="B96" s="37" t="inlineStr">
        <is>
          <t>SELL</t>
        </is>
      </c>
      <c r="C96" s="38" t="n">
        <v>46010</v>
      </c>
      <c r="D96" s="39" t="n">
        <v>121000</v>
      </c>
      <c r="E96" s="40" t="n">
        <v>918.6900000000001</v>
      </c>
      <c r="F96" s="40" t="n">
        <v>918.6900000000001</v>
      </c>
      <c r="G96" s="41" t="n">
        <v>-123.75</v>
      </c>
      <c r="H96" s="41" t="n"/>
      <c r="I96" s="19" t="n">
        <v>865.250000000001</v>
      </c>
      <c r="J96" s="41" t="n">
        <v>472.25</v>
      </c>
      <c r="K96" s="42">
        <f>IF(AND(B96="SELL",E96&gt;0,J96&lt;&gt;""),J96/E96,0)</f>
        <v/>
      </c>
      <c r="L96" s="42" t="n">
        <v>0.483</v>
      </c>
      <c r="M96" s="40">
        <f>IF(AND(B96="SELL",L96&gt;0),D96*L96,0)</f>
        <v/>
      </c>
      <c r="N96" s="36" t="n"/>
      <c r="O96" s="43">
        <f>IF(AND(B96="SELL",G96&lt;&gt;0),Q96/ABS(G96),0)</f>
        <v/>
      </c>
      <c r="P96" s="43">
        <f>IF(AND(B96="SELL",D96&gt;0),R96/D96,0)</f>
        <v/>
      </c>
      <c r="Q96" s="44">
        <f>IF(AND(B96="SELL",D96&gt;0,E96&gt;0),(D96/E96)+G96,0)</f>
        <v/>
      </c>
      <c r="R96" s="45">
        <f>IF(B96="SELL",Q96*F96,0)</f>
        <v/>
      </c>
      <c r="S96" s="24">
        <f>S95+R96</f>
        <v/>
      </c>
    </row>
    <row r="97" ht="15.75" customHeight="1" s="94">
      <c r="A97" s="46" t="n">
        <v>96</v>
      </c>
      <c r="B97" s="47" t="inlineStr">
        <is>
          <t>SELL</t>
        </is>
      </c>
      <c r="C97" s="48" t="n">
        <v>46010</v>
      </c>
      <c r="D97" s="49" t="n">
        <v>89030</v>
      </c>
      <c r="E97" s="50" t="n">
        <v>918.6900000000001</v>
      </c>
      <c r="F97" s="50" t="n">
        <v>918.6900000000001</v>
      </c>
      <c r="G97" s="51" t="n">
        <v>-91.09999999999999</v>
      </c>
      <c r="H97" s="51" t="n"/>
      <c r="I97" s="30" t="n">
        <v>774.150000000001</v>
      </c>
      <c r="J97" s="51" t="n">
        <v>472</v>
      </c>
      <c r="K97" s="52">
        <f>IF(AND(B97="SELL",E97&gt;0,J97&lt;&gt;""),J97/E97,0)</f>
        <v/>
      </c>
      <c r="L97" s="52" t="n">
        <v>0.483</v>
      </c>
      <c r="M97" s="50">
        <f>IF(AND(B97="SELL",L97&gt;0),D97*L97,0)</f>
        <v/>
      </c>
      <c r="N97" s="46" t="n"/>
      <c r="O97" s="53">
        <f>IF(AND(B97="SELL",G97&lt;&gt;0),Q97/ABS(G97),0)</f>
        <v/>
      </c>
      <c r="P97" s="53">
        <f>IF(AND(B97="SELL",D97&gt;0),R97/D97,0)</f>
        <v/>
      </c>
      <c r="Q97" s="54">
        <f>IF(AND(B97="SELL",D97&gt;0,E97&gt;0),(D97/E97)+G97,0)</f>
        <v/>
      </c>
      <c r="R97" s="55">
        <f>IF(B97="SELL",Q97*F97,0)</f>
        <v/>
      </c>
      <c r="S97" s="35">
        <f>S96+R97</f>
        <v/>
      </c>
    </row>
    <row r="98" ht="15.75" customHeight="1" s="94">
      <c r="A98" s="36" t="n">
        <v>97</v>
      </c>
      <c r="B98" s="37" t="inlineStr">
        <is>
          <t>SELL</t>
        </is>
      </c>
      <c r="C98" s="38" t="n">
        <v>46011</v>
      </c>
      <c r="D98" s="39" t="n">
        <v>180000</v>
      </c>
      <c r="E98" s="40" t="n">
        <v>918.6900000000001</v>
      </c>
      <c r="F98" s="40" t="n">
        <v>918.6900000000001</v>
      </c>
      <c r="G98" s="41" t="n">
        <v>-180.99</v>
      </c>
      <c r="H98" s="41" t="n"/>
      <c r="I98" s="19" t="n">
        <v>593.160000000001</v>
      </c>
      <c r="J98" s="41" t="n">
        <v>471.4</v>
      </c>
      <c r="K98" s="42">
        <f>IF(AND(B98="SELL",E98&gt;0,J98&lt;&gt;""),J98/E98,0)</f>
        <v/>
      </c>
      <c r="L98" s="42" t="n">
        <v>0.474</v>
      </c>
      <c r="M98" s="40">
        <f>IF(AND(B98="SELL",L98&gt;0),D98*L98,0)</f>
        <v/>
      </c>
      <c r="N98" s="36" t="n"/>
      <c r="O98" s="43">
        <f>IF(AND(B98="SELL",G98&lt;&gt;0),Q98/ABS(G98),0)</f>
        <v/>
      </c>
      <c r="P98" s="43">
        <f>IF(AND(B98="SELL",D98&gt;0),R98/D98,0)</f>
        <v/>
      </c>
      <c r="Q98" s="44">
        <f>IF(AND(B98="SELL",D98&gt;0,E98&gt;0),(D98/E98)+G98,0)</f>
        <v/>
      </c>
      <c r="R98" s="45">
        <f>IF(B98="SELL",Q98*F98,0)</f>
        <v/>
      </c>
      <c r="S98" s="24">
        <f>S97+R98</f>
        <v/>
      </c>
    </row>
    <row r="99" ht="15.75" customHeight="1" s="94">
      <c r="A99" s="46" t="n">
        <v>98</v>
      </c>
      <c r="B99" s="47" t="inlineStr">
        <is>
          <t>SELL</t>
        </is>
      </c>
      <c r="C99" s="48" t="n">
        <v>46011</v>
      </c>
      <c r="D99" s="49" t="n">
        <v>10000</v>
      </c>
      <c r="E99" s="50" t="n">
        <v>918.6900000000001</v>
      </c>
      <c r="F99" s="50" t="n">
        <v>918.6900000000001</v>
      </c>
      <c r="G99" s="51" t="n">
        <v>-10.23</v>
      </c>
      <c r="H99" s="51" t="n"/>
      <c r="I99" s="30" t="n">
        <v>582.930000000001</v>
      </c>
      <c r="J99" s="51" t="n">
        <v>463</v>
      </c>
      <c r="K99" s="52">
        <f>IF(AND(B99="SELL",E99&gt;0,J99&lt;&gt;""),J99/E99,0)</f>
        <v/>
      </c>
      <c r="L99" s="52" t="n">
        <v>0.474</v>
      </c>
      <c r="M99" s="50">
        <f>IF(AND(B99="SELL",L99&gt;0),D99*L99,0)</f>
        <v/>
      </c>
      <c r="N99" s="46" t="n"/>
      <c r="O99" s="53">
        <f>IF(AND(B99="SELL",G99&lt;&gt;0),Q99/ABS(G99),0)</f>
        <v/>
      </c>
      <c r="P99" s="53">
        <f>IF(AND(B99="SELL",D99&gt;0),R99/D99,0)</f>
        <v/>
      </c>
      <c r="Q99" s="54">
        <f>IF(AND(B99="SELL",D99&gt;0,E99&gt;0),(D99/E99)+G99,0)</f>
        <v/>
      </c>
      <c r="R99" s="55">
        <f>IF(B99="SELL",Q99*F99,0)</f>
        <v/>
      </c>
      <c r="S99" s="35">
        <f>S98+R99</f>
        <v/>
      </c>
    </row>
    <row r="100" ht="15.75" customHeight="1" s="94">
      <c r="A100" s="36" t="n">
        <v>99</v>
      </c>
      <c r="B100" s="37" t="inlineStr">
        <is>
          <t>SELL</t>
        </is>
      </c>
      <c r="C100" s="38" t="n">
        <v>46011</v>
      </c>
      <c r="D100" s="39" t="n">
        <v>20000</v>
      </c>
      <c r="E100" s="40" t="n">
        <v>918.6900000000001</v>
      </c>
      <c r="F100" s="40" t="n">
        <v>918.6900000000001</v>
      </c>
      <c r="G100" s="41" t="n">
        <v>-20.61</v>
      </c>
      <c r="H100" s="41" t="n"/>
      <c r="I100" s="19" t="n">
        <v>562.320000000001</v>
      </c>
      <c r="J100" s="41" t="n">
        <v>459.877</v>
      </c>
      <c r="K100" s="42">
        <f>IF(AND(B100="SELL",E100&gt;0,J100&lt;&gt;""),J100/E100,0)</f>
        <v/>
      </c>
      <c r="L100" s="42" t="n">
        <v>0.474</v>
      </c>
      <c r="M100" s="40">
        <f>IF(AND(B100="SELL",L100&gt;0),D100*L100,0)</f>
        <v/>
      </c>
      <c r="N100" s="36" t="n"/>
      <c r="O100" s="43">
        <f>IF(AND(B100="SELL",G100&lt;&gt;0),Q100/ABS(G100),0)</f>
        <v/>
      </c>
      <c r="P100" s="43">
        <f>IF(AND(B100="SELL",D100&gt;0),R100/D100,0)</f>
        <v/>
      </c>
      <c r="Q100" s="44">
        <f>IF(AND(B100="SELL",D100&gt;0,E100&gt;0),(D100/E100)+G100,0)</f>
        <v/>
      </c>
      <c r="R100" s="45">
        <f>IF(B100="SELL",Q100*F100,0)</f>
        <v/>
      </c>
      <c r="S100" s="24">
        <f>S99+R100</f>
        <v/>
      </c>
    </row>
    <row r="101" ht="15.75" customHeight="1" s="94">
      <c r="A101" s="46" t="n">
        <v>100</v>
      </c>
      <c r="B101" s="47" t="inlineStr">
        <is>
          <t>SELL</t>
        </is>
      </c>
      <c r="C101" s="48" t="n">
        <v>46011</v>
      </c>
      <c r="D101" s="49" t="n">
        <v>20000</v>
      </c>
      <c r="E101" s="50" t="n">
        <v>918.6900000000001</v>
      </c>
      <c r="F101" s="50" t="n">
        <v>918.6900000000001</v>
      </c>
      <c r="G101" s="51" t="n">
        <v>-20.29</v>
      </c>
      <c r="H101" s="51" t="n"/>
      <c r="I101" s="30" t="n">
        <v>542.030000000001</v>
      </c>
      <c r="J101" s="51" t="n">
        <v>467</v>
      </c>
      <c r="K101" s="52">
        <f>IF(AND(B101="SELL",E101&gt;0,J101&lt;&gt;""),J101/E101,0)</f>
        <v/>
      </c>
      <c r="L101" s="52" t="n">
        <v>0.474</v>
      </c>
      <c r="M101" s="50">
        <f>IF(AND(B101="SELL",L101&gt;0),D101*L101,0)</f>
        <v/>
      </c>
      <c r="N101" s="46" t="n"/>
      <c r="O101" s="53">
        <f>IF(AND(B101="SELL",G101&lt;&gt;0),Q101/ABS(G101),0)</f>
        <v/>
      </c>
      <c r="P101" s="53">
        <f>IF(AND(B101="SELL",D101&gt;0),R101/D101,0)</f>
        <v/>
      </c>
      <c r="Q101" s="54">
        <f>IF(AND(B101="SELL",D101&gt;0,E101&gt;0),(D101/E101)+G101,0)</f>
        <v/>
      </c>
      <c r="R101" s="55">
        <f>IF(B101="SELL",Q101*F101,0)</f>
        <v/>
      </c>
      <c r="S101" s="35">
        <f>S100+R101</f>
        <v/>
      </c>
    </row>
    <row r="102" ht="15.75" customHeight="1" s="94">
      <c r="A102" s="36" t="n">
        <v>101</v>
      </c>
      <c r="B102" s="37" t="inlineStr">
        <is>
          <t>SELL</t>
        </is>
      </c>
      <c r="C102" s="38" t="n">
        <v>46012</v>
      </c>
      <c r="D102" s="39" t="n">
        <v>15000</v>
      </c>
      <c r="E102" s="40" t="n">
        <v>918.6900000000001</v>
      </c>
      <c r="F102" s="40" t="n">
        <v>918.6900000000001</v>
      </c>
      <c r="G102" s="41" t="n">
        <v>-15.6</v>
      </c>
      <c r="H102" s="41" t="n"/>
      <c r="I102" s="19" t="n">
        <v>526.430000000001</v>
      </c>
      <c r="J102" s="41" t="n">
        <v>461.52</v>
      </c>
      <c r="K102" s="42">
        <f>IF(AND(B102="SELL",E102&gt;0,J102&lt;&gt;""),J102/E102,0)</f>
        <v/>
      </c>
      <c r="L102" s="42" t="n">
        <v>0.48</v>
      </c>
      <c r="M102" s="40">
        <f>IF(AND(B102="SELL",L102&gt;0),D102*L102,0)</f>
        <v/>
      </c>
      <c r="N102" s="36" t="n"/>
      <c r="O102" s="43">
        <f>IF(AND(B102="SELL",G102&lt;&gt;0),Q102/ABS(G102),0)</f>
        <v/>
      </c>
      <c r="P102" s="43">
        <f>IF(AND(B102="SELL",D102&gt;0),R102/D102,0)</f>
        <v/>
      </c>
      <c r="Q102" s="44">
        <f>IF(AND(B102="SELL",D102&gt;0,E102&gt;0),(D102/E102)+G102,0)</f>
        <v/>
      </c>
      <c r="R102" s="45">
        <f>IF(B102="SELL",Q102*F102,0)</f>
        <v/>
      </c>
      <c r="S102" s="24">
        <f>S101+R102</f>
        <v/>
      </c>
    </row>
    <row r="103" ht="15.75" customHeight="1" s="94">
      <c r="A103" s="46" t="n">
        <v>102</v>
      </c>
      <c r="B103" s="47" t="inlineStr">
        <is>
          <t>SELL</t>
        </is>
      </c>
      <c r="C103" s="48" t="n">
        <v>46012</v>
      </c>
      <c r="D103" s="49" t="n">
        <v>14700</v>
      </c>
      <c r="E103" s="50" t="n">
        <v>918.6900000000001</v>
      </c>
      <c r="F103" s="50" t="n">
        <v>918.6900000000001</v>
      </c>
      <c r="G103" s="51" t="n">
        <v>-15.17</v>
      </c>
      <c r="H103" s="51" t="n"/>
      <c r="I103" s="30" t="n">
        <v>511.260000000001</v>
      </c>
      <c r="J103" s="51" t="n">
        <v>465</v>
      </c>
      <c r="K103" s="52">
        <f>IF(AND(B103="SELL",E103&gt;0,J103&lt;&gt;""),J103/E103,0)</f>
        <v/>
      </c>
      <c r="L103" s="52" t="n">
        <v>0.48</v>
      </c>
      <c r="M103" s="50">
        <f>IF(AND(B103="SELL",L103&gt;0),D103*L103,0)</f>
        <v/>
      </c>
      <c r="N103" s="46" t="n"/>
      <c r="O103" s="53">
        <f>IF(AND(B103="SELL",G103&lt;&gt;0),Q103/ABS(G103),0)</f>
        <v/>
      </c>
      <c r="P103" s="53">
        <f>IF(AND(B103="SELL",D103&gt;0),R103/D103,0)</f>
        <v/>
      </c>
      <c r="Q103" s="54">
        <f>IF(AND(B103="SELL",D103&gt;0,E103&gt;0),(D103/E103)+G103,0)</f>
        <v/>
      </c>
      <c r="R103" s="55">
        <f>IF(B103="SELL",Q103*F103,0)</f>
        <v/>
      </c>
      <c r="S103" s="35">
        <f>S102+R103</f>
        <v/>
      </c>
    </row>
    <row r="104" ht="15.75" customHeight="1" s="94">
      <c r="A104" s="36" t="n">
        <v>103</v>
      </c>
      <c r="B104" s="37" t="inlineStr">
        <is>
          <t>SELL</t>
        </is>
      </c>
      <c r="C104" s="38" t="n">
        <v>46012</v>
      </c>
      <c r="D104" s="39" t="n">
        <v>15300</v>
      </c>
      <c r="E104" s="40" t="n">
        <v>918.6900000000001</v>
      </c>
      <c r="F104" s="40" t="n">
        <v>918.6900000000001</v>
      </c>
      <c r="G104" s="41" t="n">
        <v>-15.83</v>
      </c>
      <c r="H104" s="41" t="n"/>
      <c r="I104" s="19" t="n">
        <v>495.430000000001</v>
      </c>
      <c r="J104" s="41" t="n">
        <v>464.81</v>
      </c>
      <c r="K104" s="42">
        <f>IF(AND(B104="SELL",E104&gt;0,J104&lt;&gt;""),J104/E104,0)</f>
        <v/>
      </c>
      <c r="L104" s="42" t="n">
        <v>0.48</v>
      </c>
      <c r="M104" s="40">
        <f>IF(AND(B104="SELL",L104&gt;0),D104*L104,0)</f>
        <v/>
      </c>
      <c r="N104" s="36" t="n"/>
      <c r="O104" s="43">
        <f>IF(AND(B104="SELL",G104&lt;&gt;0),Q104/ABS(G104),0)</f>
        <v/>
      </c>
      <c r="P104" s="43">
        <f>IF(AND(B104="SELL",D104&gt;0),R104/D104,0)</f>
        <v/>
      </c>
      <c r="Q104" s="44">
        <f>IF(AND(B104="SELL",D104&gt;0,E104&gt;0),(D104/E104)+G104,0)</f>
        <v/>
      </c>
      <c r="R104" s="45">
        <f>IF(B104="SELL",Q104*F104,0)</f>
        <v/>
      </c>
      <c r="S104" s="24">
        <f>S103+R104</f>
        <v/>
      </c>
    </row>
    <row r="105" ht="15.75" customHeight="1" s="94">
      <c r="A105" s="46" t="n">
        <v>104</v>
      </c>
      <c r="B105" s="47" t="inlineStr">
        <is>
          <t>SELL</t>
        </is>
      </c>
      <c r="C105" s="48" t="n">
        <v>46013</v>
      </c>
      <c r="D105" s="49" t="n">
        <v>50000</v>
      </c>
      <c r="E105" s="50" t="n">
        <v>918.6900000000001</v>
      </c>
      <c r="F105" s="50" t="n">
        <v>918.6900000000001</v>
      </c>
      <c r="G105" s="51" t="n">
        <v>-50.62</v>
      </c>
      <c r="H105" s="51" t="n"/>
      <c r="I105" s="30" t="n">
        <v>444.810000000001</v>
      </c>
      <c r="J105" s="51" t="n">
        <v>476.01</v>
      </c>
      <c r="K105" s="52">
        <f>IF(AND(B105="SELL",E105&gt;0,J105&lt;&gt;""),J105/E105,0)</f>
        <v/>
      </c>
      <c r="L105" s="52" t="n">
        <v>0.482</v>
      </c>
      <c r="M105" s="50">
        <f>IF(AND(B105="SELL",L105&gt;0),D105*L105,0)</f>
        <v/>
      </c>
      <c r="N105" s="46" t="n"/>
      <c r="O105" s="53">
        <f>IF(AND(B105="SELL",G105&lt;&gt;0),Q105/ABS(G105),0)</f>
        <v/>
      </c>
      <c r="P105" s="53">
        <f>IF(AND(B105="SELL",D105&gt;0),R105/D105,0)</f>
        <v/>
      </c>
      <c r="Q105" s="54">
        <f>IF(AND(B105="SELL",D105&gt;0,E105&gt;0),(D105/E105)+G105,0)</f>
        <v/>
      </c>
      <c r="R105" s="55">
        <f>IF(B105="SELL",Q105*F105,0)</f>
        <v/>
      </c>
      <c r="S105" s="35">
        <f>S104+R105</f>
        <v/>
      </c>
    </row>
    <row r="106" ht="15.75" customHeight="1" s="94">
      <c r="A106" s="36" t="n">
        <v>105</v>
      </c>
      <c r="B106" s="37" t="inlineStr">
        <is>
          <t>SELL</t>
        </is>
      </c>
      <c r="C106" s="38" t="n">
        <v>46013</v>
      </c>
      <c r="D106" s="39" t="n">
        <v>100000</v>
      </c>
      <c r="E106" s="40" t="n">
        <v>918.6900000000001</v>
      </c>
      <c r="F106" s="40" t="n">
        <v>918.6900000000001</v>
      </c>
      <c r="G106" s="41" t="n">
        <v>-101.73</v>
      </c>
      <c r="H106" s="41" t="n"/>
      <c r="I106" s="19" t="n">
        <v>343.080000000001</v>
      </c>
      <c r="J106" s="41" t="n">
        <v>473.78</v>
      </c>
      <c r="K106" s="42">
        <f>IF(AND(B106="SELL",E106&gt;0,J106&lt;&gt;""),J106/E106,0)</f>
        <v/>
      </c>
      <c r="L106" s="42" t="n">
        <v>0.482</v>
      </c>
      <c r="M106" s="40">
        <f>IF(AND(B106="SELL",L106&gt;0),D106*L106,0)</f>
        <v/>
      </c>
      <c r="N106" s="36" t="n"/>
      <c r="O106" s="43">
        <f>IF(AND(B106="SELL",G106&lt;&gt;0),Q106/ABS(G106),0)</f>
        <v/>
      </c>
      <c r="P106" s="43">
        <f>IF(AND(B106="SELL",D106&gt;0),R106/D106,0)</f>
        <v/>
      </c>
      <c r="Q106" s="44">
        <f>IF(AND(B106="SELL",D106&gt;0,E106&gt;0),(D106/E106)+G106,0)</f>
        <v/>
      </c>
      <c r="R106" s="45">
        <f>IF(B106="SELL",Q106*F106,0)</f>
        <v/>
      </c>
      <c r="S106" s="24">
        <f>S105+R106</f>
        <v/>
      </c>
    </row>
    <row r="107" ht="15.75" customHeight="1" s="94">
      <c r="A107" s="46" t="n">
        <v>106</v>
      </c>
      <c r="B107" s="47" t="inlineStr">
        <is>
          <t>SELL</t>
        </is>
      </c>
      <c r="C107" s="48" t="n">
        <v>46013</v>
      </c>
      <c r="D107" s="49" t="n">
        <v>50000</v>
      </c>
      <c r="E107" s="50" t="n">
        <v>918.6900000000001</v>
      </c>
      <c r="F107" s="50" t="n">
        <v>918.6900000000001</v>
      </c>
      <c r="G107" s="51" t="n">
        <v>-50.79</v>
      </c>
      <c r="H107" s="51" t="n"/>
      <c r="I107" s="30" t="n">
        <v>292.290000000001</v>
      </c>
      <c r="J107" s="51" t="n">
        <v>474.5</v>
      </c>
      <c r="K107" s="52">
        <f>IF(AND(B107="SELL",E107&gt;0,J107&lt;&gt;""),J107/E107,0)</f>
        <v/>
      </c>
      <c r="L107" s="52" t="n">
        <v>0.482</v>
      </c>
      <c r="M107" s="50">
        <f>IF(AND(B107="SELL",L107&gt;0),D107*L107,0)</f>
        <v/>
      </c>
      <c r="N107" s="46" t="n"/>
      <c r="O107" s="53">
        <f>IF(AND(B107="SELL",G107&lt;&gt;0),Q107/ABS(G107),0)</f>
        <v/>
      </c>
      <c r="P107" s="53">
        <f>IF(AND(B107="SELL",D107&gt;0),R107/D107,0)</f>
        <v/>
      </c>
      <c r="Q107" s="54">
        <f>IF(AND(B107="SELL",D107&gt;0,E107&gt;0),(D107/E107)+G107,0)</f>
        <v/>
      </c>
      <c r="R107" s="55">
        <f>IF(B107="SELL",Q107*F107,0)</f>
        <v/>
      </c>
      <c r="S107" s="35">
        <f>S106+R107</f>
        <v/>
      </c>
    </row>
    <row r="108" ht="15.75" customHeight="1" s="94">
      <c r="A108" s="36" t="n">
        <v>107</v>
      </c>
      <c r="B108" s="37" t="inlineStr">
        <is>
          <t>SELL</t>
        </is>
      </c>
      <c r="C108" s="38" t="n">
        <v>46013</v>
      </c>
      <c r="D108" s="39" t="n">
        <v>20000</v>
      </c>
      <c r="E108" s="40" t="n">
        <v>918.6900000000001</v>
      </c>
      <c r="F108" s="40" t="n">
        <v>918.6900000000001</v>
      </c>
      <c r="G108" s="41" t="n">
        <v>-20.71</v>
      </c>
      <c r="H108" s="41" t="n"/>
      <c r="I108" s="19" t="n">
        <v>271.580000000001</v>
      </c>
      <c r="J108" s="41" t="n">
        <v>465.001</v>
      </c>
      <c r="K108" s="42">
        <f>IF(AND(B108="SELL",E108&gt;0,J108&lt;&gt;""),J108/E108,0)</f>
        <v/>
      </c>
      <c r="L108" s="42" t="n">
        <v>0.482</v>
      </c>
      <c r="M108" s="40">
        <f>IF(AND(B108="SELL",L108&gt;0),D108*L108,0)</f>
        <v/>
      </c>
      <c r="N108" s="36" t="n"/>
      <c r="O108" s="43">
        <f>IF(AND(B108="SELL",G108&lt;&gt;0),Q108/ABS(G108),0)</f>
        <v/>
      </c>
      <c r="P108" s="43">
        <f>IF(AND(B108="SELL",D108&gt;0),R108/D108,0)</f>
        <v/>
      </c>
      <c r="Q108" s="44">
        <f>IF(AND(B108="SELL",D108&gt;0,E108&gt;0),(D108/E108)+G108,0)</f>
        <v/>
      </c>
      <c r="R108" s="45">
        <f>IF(B108="SELL",Q108*F108,0)</f>
        <v/>
      </c>
      <c r="S108" s="24">
        <f>S107+R108</f>
        <v/>
      </c>
    </row>
    <row r="109" ht="15.75" customHeight="1" s="94">
      <c r="A109" s="46" t="n">
        <v>108</v>
      </c>
      <c r="B109" s="47" t="inlineStr">
        <is>
          <t>SELL</t>
        </is>
      </c>
      <c r="C109" s="48" t="n">
        <v>46013</v>
      </c>
      <c r="D109" s="49" t="n">
        <v>30000</v>
      </c>
      <c r="E109" s="50" t="n">
        <v>918.6900000000001</v>
      </c>
      <c r="F109" s="50" t="n">
        <v>918.6900000000001</v>
      </c>
      <c r="G109" s="51" t="n">
        <v>-30.57</v>
      </c>
      <c r="H109" s="51" t="n"/>
      <c r="I109" s="30" t="n">
        <v>241.010000000001</v>
      </c>
      <c r="J109" s="51" t="n">
        <v>473</v>
      </c>
      <c r="K109" s="52">
        <f>IF(AND(B109="SELL",E109&gt;0,J109&lt;&gt;""),J109/E109,0)</f>
        <v/>
      </c>
      <c r="L109" s="52" t="n">
        <v>0.482</v>
      </c>
      <c r="M109" s="50">
        <f>IF(AND(B109="SELL",L109&gt;0),D109*L109,0)</f>
        <v/>
      </c>
      <c r="N109" s="46" t="n"/>
      <c r="O109" s="53">
        <f>IF(AND(B109="SELL",G109&lt;&gt;0),Q109/ABS(G109),0)</f>
        <v/>
      </c>
      <c r="P109" s="53">
        <f>IF(AND(B109="SELL",D109&gt;0),R109/D109,0)</f>
        <v/>
      </c>
      <c r="Q109" s="54">
        <f>IF(AND(B109="SELL",D109&gt;0,E109&gt;0),(D109/E109)+G109,0)</f>
        <v/>
      </c>
      <c r="R109" s="55">
        <f>IF(B109="SELL",Q109*F109,0)</f>
        <v/>
      </c>
      <c r="S109" s="35">
        <f>S108+R109</f>
        <v/>
      </c>
    </row>
    <row r="110" ht="15.75" customHeight="1" s="94">
      <c r="A110" s="36" t="n">
        <v>109</v>
      </c>
      <c r="B110" s="37" t="inlineStr">
        <is>
          <t>SELL</t>
        </is>
      </c>
      <c r="C110" s="38" t="n">
        <v>46013</v>
      </c>
      <c r="D110" s="39" t="n">
        <v>50000</v>
      </c>
      <c r="E110" s="40" t="n">
        <v>918.6900000000001</v>
      </c>
      <c r="F110" s="40" t="n">
        <v>918.6900000000001</v>
      </c>
      <c r="G110" s="41" t="n">
        <v>-50.53</v>
      </c>
      <c r="H110" s="41" t="n"/>
      <c r="I110" s="19" t="n">
        <v>190.480000000001</v>
      </c>
      <c r="J110" s="41" t="n">
        <v>3750.06</v>
      </c>
      <c r="K110" s="42">
        <f>IF(AND(B110="SELL",E110&gt;0,J110&lt;&gt;""),J110/E110,0)</f>
        <v/>
      </c>
      <c r="L110" s="42" t="n">
        <v>3.79</v>
      </c>
      <c r="M110" s="40">
        <f>IF(AND(B110="SELL",L110&gt;0),D110*L110,0)</f>
        <v/>
      </c>
      <c r="N110" s="36" t="n"/>
      <c r="O110" s="43">
        <f>IF(AND(B110="SELL",G110&lt;&gt;0),Q110/ABS(G110),0)</f>
        <v/>
      </c>
      <c r="P110" s="43">
        <f>IF(AND(B110="SELL",D110&gt;0),R110/D110,0)</f>
        <v/>
      </c>
      <c r="Q110" s="44">
        <f>IF(AND(B110="SELL",D110&gt;0,E110&gt;0),(D110/E110)+G110,0)</f>
        <v/>
      </c>
      <c r="R110" s="45">
        <f>IF(B110="SELL",Q110*F110,0)</f>
        <v/>
      </c>
      <c r="S110" s="24">
        <f>S109+R110</f>
        <v/>
      </c>
    </row>
    <row r="111" ht="15.75" customHeight="1" s="94">
      <c r="A111" s="46" t="n">
        <v>110</v>
      </c>
      <c r="B111" s="47" t="inlineStr">
        <is>
          <t>SELL</t>
        </is>
      </c>
      <c r="C111" s="48" t="n">
        <v>46013</v>
      </c>
      <c r="D111" s="49" t="n">
        <v>20000</v>
      </c>
      <c r="E111" s="50" t="n">
        <v>918.6900000000001</v>
      </c>
      <c r="F111" s="50" t="n">
        <v>918.6900000000001</v>
      </c>
      <c r="G111" s="51" t="n">
        <v>-20.27</v>
      </c>
      <c r="H111" s="51" t="n"/>
      <c r="I111" s="30" t="n">
        <v>170.210000000001</v>
      </c>
      <c r="J111" s="51" t="n">
        <v>475.42</v>
      </c>
      <c r="K111" s="52">
        <f>IF(AND(B111="SELL",E111&gt;0,J111&lt;&gt;""),J111/E111,0)</f>
        <v/>
      </c>
      <c r="L111" s="52" t="n">
        <v>0.482</v>
      </c>
      <c r="M111" s="50">
        <f>IF(AND(B111="SELL",L111&gt;0),D111*L111,0)</f>
        <v/>
      </c>
      <c r="N111" s="46" t="n"/>
      <c r="O111" s="53">
        <f>IF(AND(B111="SELL",G111&lt;&gt;0),Q111/ABS(G111),0)</f>
        <v/>
      </c>
      <c r="P111" s="53">
        <f>IF(AND(B111="SELL",D111&gt;0),R111/D111,0)</f>
        <v/>
      </c>
      <c r="Q111" s="54">
        <f>IF(AND(B111="SELL",D111&gt;0,E111&gt;0),(D111/E111)+G111,0)</f>
        <v/>
      </c>
      <c r="R111" s="55">
        <f>IF(B111="SELL",Q111*F111,0)</f>
        <v/>
      </c>
      <c r="S111" s="35">
        <f>S110+R111</f>
        <v/>
      </c>
    </row>
    <row r="112" ht="15.75" customHeight="1" s="94">
      <c r="A112" s="14" t="n">
        <v>111</v>
      </c>
      <c r="B112" s="15" t="inlineStr">
        <is>
          <t>BUY</t>
        </is>
      </c>
      <c r="C112" s="16" t="n">
        <v>46014</v>
      </c>
      <c r="D112" s="17" t="n">
        <v>1880000</v>
      </c>
      <c r="E112" s="18" t="n">
        <v>910.65</v>
      </c>
      <c r="F112" s="18" t="n">
        <v>910.65</v>
      </c>
      <c r="G112" s="19" t="n">
        <v>2064.45</v>
      </c>
      <c r="H112" s="19" t="n"/>
      <c r="I112" s="19" t="n">
        <v>2234.66</v>
      </c>
      <c r="J112" s="19" t="n"/>
      <c r="K112" s="20">
        <f>IF(AND(B112="SELL",E112&gt;0,J112&lt;&gt;""),J112/E112,0)</f>
        <v/>
      </c>
      <c r="L112" s="20" t="n">
        <v>0</v>
      </c>
      <c r="M112" s="18">
        <f>IF(AND(B112="SELL",L112&gt;0),D112*L112,0)</f>
        <v/>
      </c>
      <c r="N112" s="14" t="n"/>
      <c r="O112" s="21">
        <f>IF(AND(B112="SELL",G112&lt;&gt;0),Q112/ABS(G112),0)</f>
        <v/>
      </c>
      <c r="P112" s="21">
        <f>IF(AND(B112="SELL",D112&gt;0),R112/D112,0)</f>
        <v/>
      </c>
      <c r="Q112" s="22">
        <f>IF(AND(B112="SELL",D112&gt;0,E112&gt;0),(D112/E112)+G112,0)</f>
        <v/>
      </c>
      <c r="R112" s="23">
        <f>IF(B112="SELL",Q112*F112,0)</f>
        <v/>
      </c>
      <c r="S112" s="24">
        <f>S111+R112</f>
        <v/>
      </c>
    </row>
    <row r="113" ht="15.75" customHeight="1" s="94">
      <c r="A113" s="46" t="n">
        <v>112</v>
      </c>
      <c r="B113" s="47" t="inlineStr">
        <is>
          <t>SELL</t>
        </is>
      </c>
      <c r="C113" s="48" t="n">
        <v>46014</v>
      </c>
      <c r="D113" s="49" t="n">
        <v>130000</v>
      </c>
      <c r="E113" s="50" t="n">
        <v>910.65</v>
      </c>
      <c r="F113" s="50" t="n">
        <v>910.65</v>
      </c>
      <c r="G113" s="51" t="n">
        <v>-133.41</v>
      </c>
      <c r="H113" s="51" t="n"/>
      <c r="I113" s="30" t="n">
        <v>2101.25</v>
      </c>
      <c r="J113" s="51" t="n">
        <v>475.501</v>
      </c>
      <c r="K113" s="52">
        <f>IF(AND(B113="SELL",E113&gt;0,J113&lt;&gt;""),J113/E113,0)</f>
        <v/>
      </c>
      <c r="L113" s="52" t="n">
        <v>0.488</v>
      </c>
      <c r="M113" s="50">
        <f>IF(AND(B113="SELL",L113&gt;0),D113*L113,0)</f>
        <v/>
      </c>
      <c r="N113" s="46" t="n"/>
      <c r="O113" s="53">
        <f>IF(AND(B113="SELL",G113&lt;&gt;0),Q113/ABS(G113),0)</f>
        <v/>
      </c>
      <c r="P113" s="53">
        <f>IF(AND(B113="SELL",D113&gt;0),R113/D113,0)</f>
        <v/>
      </c>
      <c r="Q113" s="54">
        <f>IF(AND(B113="SELL",D113&gt;0,E113&gt;0),(D113/E113)+G113,0)</f>
        <v/>
      </c>
      <c r="R113" s="55">
        <f>IF(B113="SELL",Q113*F113,0)</f>
        <v/>
      </c>
      <c r="S113" s="35">
        <f>S112+R113</f>
        <v/>
      </c>
    </row>
    <row r="114" ht="15.75" customHeight="1" s="94">
      <c r="A114" s="36" t="n">
        <v>113</v>
      </c>
      <c r="B114" s="37" t="inlineStr">
        <is>
          <t>SELL</t>
        </is>
      </c>
      <c r="C114" s="38" t="n">
        <v>46014</v>
      </c>
      <c r="D114" s="39" t="n">
        <v>20000</v>
      </c>
      <c r="E114" s="40" t="n">
        <v>910.65</v>
      </c>
      <c r="F114" s="40" t="n">
        <v>910.65</v>
      </c>
      <c r="G114" s="41" t="n">
        <v>-20.93</v>
      </c>
      <c r="H114" s="41" t="n"/>
      <c r="I114" s="19" t="n">
        <v>2080.32</v>
      </c>
      <c r="J114" s="41" t="n">
        <v>466.25</v>
      </c>
      <c r="K114" s="42">
        <f>IF(AND(B114="SELL",E114&gt;0,J114&lt;&gt;""),J114/E114,0)</f>
        <v/>
      </c>
      <c r="L114" s="42" t="n">
        <v>0.488</v>
      </c>
      <c r="M114" s="40">
        <f>IF(AND(B114="SELL",L114&gt;0),D114*L114,0)</f>
        <v/>
      </c>
      <c r="N114" s="36" t="n"/>
      <c r="O114" s="43">
        <f>IF(AND(B114="SELL",G114&lt;&gt;0),Q114/ABS(G114),0)</f>
        <v/>
      </c>
      <c r="P114" s="43">
        <f>IF(AND(B114="SELL",D114&gt;0),R114/D114,0)</f>
        <v/>
      </c>
      <c r="Q114" s="44">
        <f>IF(AND(B114="SELL",D114&gt;0,E114&gt;0),(D114/E114)+G114,0)</f>
        <v/>
      </c>
      <c r="R114" s="45">
        <f>IF(B114="SELL",Q114*F114,0)</f>
        <v/>
      </c>
      <c r="S114" s="24">
        <f>S113+R114</f>
        <v/>
      </c>
    </row>
    <row r="115" ht="15.75" customHeight="1" s="94">
      <c r="A115" s="46" t="n">
        <v>114</v>
      </c>
      <c r="B115" s="47" t="inlineStr">
        <is>
          <t>SELL</t>
        </is>
      </c>
      <c r="C115" s="48" t="n">
        <v>46014</v>
      </c>
      <c r="D115" s="49" t="n">
        <v>40000</v>
      </c>
      <c r="E115" s="50" t="n">
        <v>910.65</v>
      </c>
      <c r="F115" s="50" t="n">
        <v>910.65</v>
      </c>
      <c r="G115" s="51" t="n">
        <v>-41.97</v>
      </c>
      <c r="H115" s="51" t="n"/>
      <c r="I115" s="30" t="n">
        <v>2038.35</v>
      </c>
      <c r="J115" s="51" t="n">
        <v>465</v>
      </c>
      <c r="K115" s="52">
        <f>IF(AND(B115="SELL",E115&gt;0,J115&lt;&gt;""),J115/E115,0)</f>
        <v/>
      </c>
      <c r="L115" s="52" t="n">
        <v>0.488</v>
      </c>
      <c r="M115" s="50">
        <f>IF(AND(B115="SELL",L115&gt;0),D115*L115,0)</f>
        <v/>
      </c>
      <c r="N115" s="46" t="n"/>
      <c r="O115" s="53">
        <f>IF(AND(B115="SELL",G115&lt;&gt;0),Q115/ABS(G115),0)</f>
        <v/>
      </c>
      <c r="P115" s="53">
        <f>IF(AND(B115="SELL",D115&gt;0),R115/D115,0)</f>
        <v/>
      </c>
      <c r="Q115" s="54">
        <f>IF(AND(B115="SELL",D115&gt;0,E115&gt;0),(D115/E115)+G115,0)</f>
        <v/>
      </c>
      <c r="R115" s="55">
        <f>IF(B115="SELL",Q115*F115,0)</f>
        <v/>
      </c>
      <c r="S115" s="35">
        <f>S114+R115</f>
        <v/>
      </c>
    </row>
    <row r="116" ht="15.75" customHeight="1" s="94">
      <c r="A116" s="36" t="n">
        <v>115</v>
      </c>
      <c r="B116" s="37" t="inlineStr">
        <is>
          <t>SELL</t>
        </is>
      </c>
      <c r="C116" s="38" t="n">
        <v>46014</v>
      </c>
      <c r="D116" s="39" t="n">
        <v>15000</v>
      </c>
      <c r="E116" s="40" t="n">
        <v>910.65</v>
      </c>
      <c r="F116" s="40" t="n">
        <v>910.65</v>
      </c>
      <c r="G116" s="41" t="n">
        <v>-15.74</v>
      </c>
      <c r="H116" s="41" t="n"/>
      <c r="I116" s="19" t="n">
        <v>2022.61</v>
      </c>
      <c r="J116" s="41" t="n">
        <v>465</v>
      </c>
      <c r="K116" s="42">
        <f>IF(AND(B116="SELL",E116&gt;0,J116&lt;&gt;""),J116/E116,0)</f>
        <v/>
      </c>
      <c r="L116" s="42" t="n">
        <v>0.488</v>
      </c>
      <c r="M116" s="40">
        <f>IF(AND(B116="SELL",L116&gt;0),D116*L116,0)</f>
        <v/>
      </c>
      <c r="N116" s="36" t="n"/>
      <c r="O116" s="43">
        <f>IF(AND(B116="SELL",G116&lt;&gt;0),Q116/ABS(G116),0)</f>
        <v/>
      </c>
      <c r="P116" s="43">
        <f>IF(AND(B116="SELL",D116&gt;0),R116/D116,0)</f>
        <v/>
      </c>
      <c r="Q116" s="44">
        <f>IF(AND(B116="SELL",D116&gt;0,E116&gt;0),(D116/E116)+G116,0)</f>
        <v/>
      </c>
      <c r="R116" s="45">
        <f>IF(B116="SELL",Q116*F116,0)</f>
        <v/>
      </c>
      <c r="S116" s="24">
        <f>S115+R116</f>
        <v/>
      </c>
    </row>
    <row r="117" ht="15.75" customHeight="1" s="94">
      <c r="A117" s="46" t="n">
        <v>116</v>
      </c>
      <c r="B117" s="47" t="inlineStr">
        <is>
          <t>SELL</t>
        </is>
      </c>
      <c r="C117" s="48" t="n">
        <v>46014</v>
      </c>
      <c r="D117" s="49" t="n">
        <v>128000</v>
      </c>
      <c r="E117" s="50" t="n">
        <v>910.65</v>
      </c>
      <c r="F117" s="50" t="n">
        <v>910.65</v>
      </c>
      <c r="G117" s="51" t="n">
        <v>-131.91</v>
      </c>
      <c r="H117" s="51" t="n"/>
      <c r="I117" s="30" t="n">
        <v>1890.7</v>
      </c>
      <c r="J117" s="51" t="n">
        <v>473.52</v>
      </c>
      <c r="K117" s="52">
        <f>IF(AND(B117="SELL",E117&gt;0,J117&lt;&gt;""),J117/E117,0)</f>
        <v/>
      </c>
      <c r="L117" s="52" t="n">
        <v>0.488</v>
      </c>
      <c r="M117" s="50">
        <f>IF(AND(B117="SELL",L117&gt;0),D117*L117,0)</f>
        <v/>
      </c>
      <c r="N117" s="46" t="n"/>
      <c r="O117" s="53">
        <f>IF(AND(B117="SELL",G117&lt;&gt;0),Q117/ABS(G117),0)</f>
        <v/>
      </c>
      <c r="P117" s="53">
        <f>IF(AND(B117="SELL",D117&gt;0),R117/D117,0)</f>
        <v/>
      </c>
      <c r="Q117" s="54">
        <f>IF(AND(B117="SELL",D117&gt;0,E117&gt;0),(D117/E117)+G117,0)</f>
        <v/>
      </c>
      <c r="R117" s="55">
        <f>IF(B117="SELL",Q117*F117,0)</f>
        <v/>
      </c>
      <c r="S117" s="35">
        <f>S116+R117</f>
        <v/>
      </c>
    </row>
    <row r="118" ht="15.75" customHeight="1" s="94">
      <c r="A118" s="36" t="n">
        <v>117</v>
      </c>
      <c r="B118" s="37" t="inlineStr">
        <is>
          <t>SELL</t>
        </is>
      </c>
      <c r="C118" s="38" t="n">
        <v>46014</v>
      </c>
      <c r="D118" s="39" t="n">
        <v>39000</v>
      </c>
      <c r="E118" s="40" t="n">
        <v>910.65</v>
      </c>
      <c r="F118" s="40" t="n">
        <v>910.65</v>
      </c>
      <c r="G118" s="41" t="n">
        <v>-41.32</v>
      </c>
      <c r="H118" s="41" t="n"/>
      <c r="I118" s="19" t="n">
        <v>1849.38</v>
      </c>
      <c r="J118" s="41" t="n">
        <v>460.55</v>
      </c>
      <c r="K118" s="42">
        <f>IF(AND(B118="SELL",E118&gt;0,J118&lt;&gt;""),J118/E118,0)</f>
        <v/>
      </c>
      <c r="L118" s="42" t="n">
        <v>0.488</v>
      </c>
      <c r="M118" s="40">
        <f>IF(AND(B118="SELL",L118&gt;0),D118*L118,0)</f>
        <v/>
      </c>
      <c r="N118" s="36" t="n"/>
      <c r="O118" s="43">
        <f>IF(AND(B118="SELL",G118&lt;&gt;0),Q118/ABS(G118),0)</f>
        <v/>
      </c>
      <c r="P118" s="43">
        <f>IF(AND(B118="SELL",D118&gt;0),R118/D118,0)</f>
        <v/>
      </c>
      <c r="Q118" s="44">
        <f>IF(AND(B118="SELL",D118&gt;0,E118&gt;0),(D118/E118)+G118,0)</f>
        <v/>
      </c>
      <c r="R118" s="45">
        <f>IF(B118="SELL",Q118*F118,0)</f>
        <v/>
      </c>
      <c r="S118" s="24">
        <f>S117+R118</f>
        <v/>
      </c>
    </row>
    <row r="119" ht="15.75" customHeight="1" s="94">
      <c r="A119" s="46" t="n">
        <v>118</v>
      </c>
      <c r="B119" s="47" t="inlineStr">
        <is>
          <t>SELL</t>
        </is>
      </c>
      <c r="C119" s="48" t="n">
        <v>46014</v>
      </c>
      <c r="D119" s="49" t="n">
        <v>80000</v>
      </c>
      <c r="E119" s="50" t="n">
        <v>910.65</v>
      </c>
      <c r="F119" s="50" t="n">
        <v>910.65</v>
      </c>
      <c r="G119" s="51" t="n">
        <v>-86.93000000000001</v>
      </c>
      <c r="H119" s="51" t="n"/>
      <c r="I119" s="30" t="n">
        <v>1762.45</v>
      </c>
      <c r="J119" s="51" t="n"/>
      <c r="K119" s="52">
        <f>IF(AND(B119="SELL",E119&gt;0,J119&lt;&gt;""),J119/E119,0)</f>
        <v/>
      </c>
      <c r="L119" s="52" t="n">
        <v>0</v>
      </c>
      <c r="M119" s="50">
        <f>IF(AND(B119="SELL",L119&gt;0),D119*L119,0)</f>
        <v/>
      </c>
      <c r="N119" s="46" t="inlineStr">
        <is>
          <t>en USDT para cuchi cuchi</t>
        </is>
      </c>
      <c r="O119" s="53">
        <f>IF(AND(B119="SELL",G119&lt;&gt;0),Q119/ABS(G119),0)</f>
        <v/>
      </c>
      <c r="P119" s="53">
        <f>IF(AND(B119="SELL",D119&gt;0),R119/D119,0)</f>
        <v/>
      </c>
      <c r="Q119" s="54">
        <f>IF(AND(B119="SELL",D119&gt;0,E119&gt;0),(D119/E119)+G119,0)</f>
        <v/>
      </c>
      <c r="R119" s="55">
        <f>IF(B119="SELL",Q119*F119,0)</f>
        <v/>
      </c>
      <c r="S119" s="35">
        <f>S118+R119</f>
        <v/>
      </c>
    </row>
    <row r="120" ht="15.75" customHeight="1" s="94">
      <c r="A120" s="36" t="n">
        <v>119</v>
      </c>
      <c r="B120" s="37" t="inlineStr">
        <is>
          <t>SELL</t>
        </is>
      </c>
      <c r="C120" s="38" t="n">
        <v>46014</v>
      </c>
      <c r="D120" s="39" t="n">
        <v>70000</v>
      </c>
      <c r="E120" s="40" t="n">
        <v>910.65</v>
      </c>
      <c r="F120" s="40" t="n">
        <v>910.65</v>
      </c>
      <c r="G120" s="41" t="n">
        <v>-72.34999999999999</v>
      </c>
      <c r="H120" s="41" t="n"/>
      <c r="I120" s="19" t="n">
        <v>1707.9</v>
      </c>
      <c r="J120" s="41" t="n">
        <v>472.1</v>
      </c>
      <c r="K120" s="42">
        <f>IF(AND(B120="SELL",E120&gt;0,J120&lt;&gt;""),J120/E120,0)</f>
        <v/>
      </c>
      <c r="L120" s="42" t="n">
        <v>0.488</v>
      </c>
      <c r="M120" s="40">
        <f>IF(AND(B120="SELL",L120&gt;0),D120*L120,0)</f>
        <v/>
      </c>
      <c r="N120" s="36" t="n"/>
      <c r="O120" s="43">
        <f>IF(AND(B120="SELL",G120&lt;&gt;0),Q120/ABS(G120),0)</f>
        <v/>
      </c>
      <c r="P120" s="43">
        <f>IF(AND(B120="SELL",D120&gt;0),R120/D120,0)</f>
        <v/>
      </c>
      <c r="Q120" s="44">
        <f>IF(AND(B120="SELL",D120&gt;0,E120&gt;0),(D120/E120)+G120,0)</f>
        <v/>
      </c>
      <c r="R120" s="45">
        <f>IF(B120="SELL",Q120*F120,0)</f>
        <v/>
      </c>
      <c r="S120" s="24">
        <f>S119+R120</f>
        <v/>
      </c>
    </row>
    <row r="121" ht="15.75" customHeight="1" s="94">
      <c r="A121" s="46" t="n">
        <v>120</v>
      </c>
      <c r="B121" s="47" t="inlineStr">
        <is>
          <t>SELL</t>
        </is>
      </c>
      <c r="C121" s="48" t="n">
        <v>46014</v>
      </c>
      <c r="D121" s="49" t="n">
        <v>80000</v>
      </c>
      <c r="E121" s="50" t="n">
        <v>910.65</v>
      </c>
      <c r="F121" s="50" t="n">
        <v>910.65</v>
      </c>
      <c r="G121" s="51" t="n">
        <v>-82.44</v>
      </c>
      <c r="H121" s="51" t="n"/>
      <c r="I121" s="30" t="n">
        <v>1625.46</v>
      </c>
      <c r="J121" s="51" t="n">
        <v>473.501</v>
      </c>
      <c r="K121" s="52">
        <f>IF(AND(B121="SELL",E121&gt;0,J121&lt;&gt;""),J121/E121,0)</f>
        <v/>
      </c>
      <c r="L121" s="52" t="n">
        <v>0.488</v>
      </c>
      <c r="M121" s="50">
        <f>IF(AND(B121="SELL",L121&gt;0),D121*L121,0)</f>
        <v/>
      </c>
      <c r="N121" s="46" t="n"/>
      <c r="O121" s="53">
        <f>IF(AND(B121="SELL",G121&lt;&gt;0),Q121/ABS(G121),0)</f>
        <v/>
      </c>
      <c r="P121" s="53">
        <f>IF(AND(B121="SELL",D121&gt;0),R121/D121,0)</f>
        <v/>
      </c>
      <c r="Q121" s="54">
        <f>IF(AND(B121="SELL",D121&gt;0,E121&gt;0),(D121/E121)+G121,0)</f>
        <v/>
      </c>
      <c r="R121" s="55">
        <f>IF(B121="SELL",Q121*F121,0)</f>
        <v/>
      </c>
      <c r="S121" s="35">
        <f>S120+R121</f>
        <v/>
      </c>
    </row>
    <row r="122" ht="15.75" customHeight="1" s="94">
      <c r="A122" s="36" t="n">
        <v>121</v>
      </c>
      <c r="B122" s="37" t="inlineStr">
        <is>
          <t>SELL</t>
        </is>
      </c>
      <c r="C122" s="38" t="n">
        <v>46014</v>
      </c>
      <c r="D122" s="39" t="n">
        <v>300000</v>
      </c>
      <c r="E122" s="40" t="n">
        <v>910.65</v>
      </c>
      <c r="F122" s="40" t="n">
        <v>910.65</v>
      </c>
      <c r="G122" s="41" t="n">
        <v>-304.61</v>
      </c>
      <c r="H122" s="41" t="n"/>
      <c r="I122" s="19" t="n">
        <v>1320.85</v>
      </c>
      <c r="J122" s="41" t="n">
        <v>480.6</v>
      </c>
      <c r="K122" s="42">
        <f>IF(AND(B122="SELL",E122&gt;0,J122&lt;&gt;""),J122/E122,0)</f>
        <v/>
      </c>
      <c r="L122" s="42" t="n">
        <v>0.488</v>
      </c>
      <c r="M122" s="40">
        <f>IF(AND(B122="SELL",L122&gt;0),D122*L122,0)</f>
        <v/>
      </c>
      <c r="N122" s="36" t="n"/>
      <c r="O122" s="43">
        <f>IF(AND(B122="SELL",G122&lt;&gt;0),Q122/ABS(G122),0)</f>
        <v/>
      </c>
      <c r="P122" s="43">
        <f>IF(AND(B122="SELL",D122&gt;0),R122/D122,0)</f>
        <v/>
      </c>
      <c r="Q122" s="44">
        <f>IF(AND(B122="SELL",D122&gt;0,E122&gt;0),(D122/E122)+G122,0)</f>
        <v/>
      </c>
      <c r="R122" s="45">
        <f>IF(B122="SELL",Q122*F122,0)</f>
        <v/>
      </c>
      <c r="S122" s="24">
        <f>S121+R122</f>
        <v/>
      </c>
    </row>
    <row r="123" ht="15.75" customHeight="1" s="94">
      <c r="A123" s="46" t="n">
        <v>122</v>
      </c>
      <c r="B123" s="47" t="inlineStr">
        <is>
          <t>SELL</t>
        </is>
      </c>
      <c r="C123" s="48" t="n">
        <v>46014</v>
      </c>
      <c r="D123" s="49" t="n">
        <v>10000</v>
      </c>
      <c r="E123" s="50" t="n">
        <v>910.65</v>
      </c>
      <c r="F123" s="50" t="n">
        <v>910.65</v>
      </c>
      <c r="G123" s="51" t="n">
        <v>-10.7</v>
      </c>
      <c r="H123" s="51" t="n"/>
      <c r="I123" s="30" t="n">
        <v>1310.15</v>
      </c>
      <c r="J123" s="51" t="n">
        <v>456.019</v>
      </c>
      <c r="K123" s="52">
        <f>IF(AND(B123="SELL",E123&gt;0,J123&lt;&gt;""),J123/E123,0)</f>
        <v/>
      </c>
      <c r="L123" s="52" t="n">
        <v>0.488</v>
      </c>
      <c r="M123" s="50">
        <f>IF(AND(B123="SELL",L123&gt;0),D123*L123,0)</f>
        <v/>
      </c>
      <c r="N123" s="46" t="n"/>
      <c r="O123" s="53">
        <f>IF(AND(B123="SELL",G123&lt;&gt;0),Q123/ABS(G123),0)</f>
        <v/>
      </c>
      <c r="P123" s="53">
        <f>IF(AND(B123="SELL",D123&gt;0),R123/D123,0)</f>
        <v/>
      </c>
      <c r="Q123" s="54">
        <f>IF(AND(B123="SELL",D123&gt;0,E123&gt;0),(D123/E123)+G123,0)</f>
        <v/>
      </c>
      <c r="R123" s="55">
        <f>IF(B123="SELL",Q123*F123,0)</f>
        <v/>
      </c>
      <c r="S123" s="35">
        <f>S122+R123</f>
        <v/>
      </c>
    </row>
    <row r="124" ht="15.75" customHeight="1" s="94">
      <c r="A124" s="36" t="n">
        <v>123</v>
      </c>
      <c r="B124" s="37" t="inlineStr">
        <is>
          <t>SELL</t>
        </is>
      </c>
      <c r="C124" s="38" t="n">
        <v>46015</v>
      </c>
      <c r="D124" s="39" t="n">
        <v>150000</v>
      </c>
      <c r="E124" s="40" t="n">
        <v>910.65</v>
      </c>
      <c r="F124" s="40" t="n">
        <v>910.65</v>
      </c>
      <c r="G124" s="41" t="n">
        <v>-156.24</v>
      </c>
      <c r="H124" s="41" t="n"/>
      <c r="I124" s="19" t="n">
        <v>1153.91</v>
      </c>
      <c r="J124" s="41" t="n">
        <v>480.21</v>
      </c>
      <c r="K124" s="42">
        <f>IF(AND(B124="SELL",E124&gt;0,J124&lt;&gt;""),J124/E124,0)</f>
        <v/>
      </c>
      <c r="L124" s="42" t="n">
        <v>0.5</v>
      </c>
      <c r="M124" s="40">
        <f>IF(AND(B124="SELL",L124&gt;0),D124*L124,0)</f>
        <v/>
      </c>
      <c r="N124" s="36" t="n"/>
      <c r="O124" s="43">
        <f>IF(AND(B124="SELL",G124&lt;&gt;0),Q124/ABS(G124),0)</f>
        <v/>
      </c>
      <c r="P124" s="43">
        <f>IF(AND(B124="SELL",D124&gt;0),R124/D124,0)</f>
        <v/>
      </c>
      <c r="Q124" s="44">
        <f>IF(AND(B124="SELL",D124&gt;0,E124&gt;0),(D124/E124)+G124,0)</f>
        <v/>
      </c>
      <c r="R124" s="45">
        <f>IF(B124="SELL",Q124*F124,0)</f>
        <v/>
      </c>
      <c r="S124" s="24">
        <f>S123+R124</f>
        <v/>
      </c>
    </row>
    <row r="125" ht="15.75" customHeight="1" s="94">
      <c r="A125" s="46" t="n">
        <v>124</v>
      </c>
      <c r="B125" s="47" t="inlineStr">
        <is>
          <t>SELL</t>
        </is>
      </c>
      <c r="C125" s="48" t="n">
        <v>46015</v>
      </c>
      <c r="D125" s="49" t="n">
        <v>10000</v>
      </c>
      <c r="E125" s="50" t="n">
        <v>910.65</v>
      </c>
      <c r="F125" s="50" t="n">
        <v>910.65</v>
      </c>
      <c r="G125" s="51" t="n">
        <v>-10.42</v>
      </c>
      <c r="H125" s="51" t="n"/>
      <c r="I125" s="30" t="n">
        <v>1143.49</v>
      </c>
      <c r="J125" s="51" t="n">
        <v>479.61</v>
      </c>
      <c r="K125" s="52">
        <f>IF(AND(B125="SELL",E125&gt;0,J125&lt;&gt;""),J125/E125,0)</f>
        <v/>
      </c>
      <c r="L125" s="52" t="n">
        <v>0.5</v>
      </c>
      <c r="M125" s="50">
        <f>IF(AND(B125="SELL",L125&gt;0),D125*L125,0)</f>
        <v/>
      </c>
      <c r="N125" s="46" t="n"/>
      <c r="O125" s="53">
        <f>IF(AND(B125="SELL",G125&lt;&gt;0),Q125/ABS(G125),0)</f>
        <v/>
      </c>
      <c r="P125" s="53">
        <f>IF(AND(B125="SELL",D125&gt;0),R125/D125,0)</f>
        <v/>
      </c>
      <c r="Q125" s="54">
        <f>IF(AND(B125="SELL",D125&gt;0,E125&gt;0),(D125/E125)+G125,0)</f>
        <v/>
      </c>
      <c r="R125" s="55">
        <f>IF(B125="SELL",Q125*F125,0)</f>
        <v/>
      </c>
      <c r="S125" s="35">
        <f>S124+R125</f>
        <v/>
      </c>
    </row>
    <row r="126" ht="15.75" customHeight="1" s="94">
      <c r="A126" s="36" t="n">
        <v>125</v>
      </c>
      <c r="B126" s="37" t="inlineStr">
        <is>
          <t>SELL</t>
        </is>
      </c>
      <c r="C126" s="38" t="n">
        <v>46015</v>
      </c>
      <c r="D126" s="39" t="n">
        <v>80000</v>
      </c>
      <c r="E126" s="40" t="n">
        <v>910.65</v>
      </c>
      <c r="F126" s="40" t="n">
        <v>910.65</v>
      </c>
      <c r="G126" s="41" t="n">
        <v>-84.03</v>
      </c>
      <c r="H126" s="41" t="n"/>
      <c r="I126" s="19" t="n">
        <v>1059.46</v>
      </c>
      <c r="J126" s="41" t="n">
        <v>476.001</v>
      </c>
      <c r="K126" s="42">
        <f>IF(AND(B126="SELL",E126&gt;0,J126&lt;&gt;""),J126/E126,0)</f>
        <v/>
      </c>
      <c r="L126" s="42" t="n">
        <v>0.5</v>
      </c>
      <c r="M126" s="40">
        <f>IF(AND(B126="SELL",L126&gt;0),D126*L126,0)</f>
        <v/>
      </c>
      <c r="N126" s="36" t="n"/>
      <c r="O126" s="43">
        <f>IF(AND(B126="SELL",G126&lt;&gt;0),Q126/ABS(G126),0)</f>
        <v/>
      </c>
      <c r="P126" s="43">
        <f>IF(AND(B126="SELL",D126&gt;0),R126/D126,0)</f>
        <v/>
      </c>
      <c r="Q126" s="44">
        <f>IF(AND(B126="SELL",D126&gt;0,E126&gt;0),(D126/E126)+G126,0)</f>
        <v/>
      </c>
      <c r="R126" s="45">
        <f>IF(B126="SELL",Q126*F126,0)</f>
        <v/>
      </c>
      <c r="S126" s="24">
        <f>S125+R126</f>
        <v/>
      </c>
    </row>
    <row r="127" ht="15.75" customHeight="1" s="94">
      <c r="A127" s="46" t="n">
        <v>126</v>
      </c>
      <c r="B127" s="47" t="inlineStr">
        <is>
          <t>SELL</t>
        </is>
      </c>
      <c r="C127" s="48" t="n">
        <v>46015</v>
      </c>
      <c r="D127" s="49" t="n">
        <v>20000</v>
      </c>
      <c r="E127" s="50" t="n">
        <v>910.65</v>
      </c>
      <c r="F127" s="50" t="n">
        <v>910.65</v>
      </c>
      <c r="G127" s="51" t="n">
        <v>-20.97</v>
      </c>
      <c r="H127" s="51" t="n"/>
      <c r="I127" s="30" t="n">
        <v>1038.49</v>
      </c>
      <c r="J127" s="51" t="n">
        <v>476.75</v>
      </c>
      <c r="K127" s="52">
        <f>IF(AND(B127="SELL",E127&gt;0,J127&lt;&gt;""),J127/E127,0)</f>
        <v/>
      </c>
      <c r="L127" s="52" t="n">
        <v>0.5</v>
      </c>
      <c r="M127" s="50">
        <f>IF(AND(B127="SELL",L127&gt;0),D127*L127,0)</f>
        <v/>
      </c>
      <c r="N127" s="46" t="n"/>
      <c r="O127" s="53">
        <f>IF(AND(B127="SELL",G127&lt;&gt;0),Q127/ABS(G127),0)</f>
        <v/>
      </c>
      <c r="P127" s="53">
        <f>IF(AND(B127="SELL",D127&gt;0),R127/D127,0)</f>
        <v/>
      </c>
      <c r="Q127" s="54">
        <f>IF(AND(B127="SELL",D127&gt;0,E127&gt;0),(D127/E127)+G127,0)</f>
        <v/>
      </c>
      <c r="R127" s="55">
        <f>IF(B127="SELL",Q127*F127,0)</f>
        <v/>
      </c>
      <c r="S127" s="35">
        <f>S126+R127</f>
        <v/>
      </c>
    </row>
    <row r="128" ht="15.75" customHeight="1" s="94">
      <c r="A128" s="36" t="n">
        <v>127</v>
      </c>
      <c r="B128" s="37" t="inlineStr">
        <is>
          <t>SELL</t>
        </is>
      </c>
      <c r="C128" s="38" t="n">
        <v>46015</v>
      </c>
      <c r="D128" s="39" t="n">
        <v>90000</v>
      </c>
      <c r="E128" s="40" t="n">
        <v>910.65</v>
      </c>
      <c r="F128" s="40" t="n">
        <v>910.65</v>
      </c>
      <c r="G128" s="41" t="n">
        <v>-94.13</v>
      </c>
      <c r="H128" s="41" t="n"/>
      <c r="I128" s="19" t="n">
        <v>944.36</v>
      </c>
      <c r="J128" s="41" t="n">
        <v>478.06</v>
      </c>
      <c r="K128" s="42">
        <f>IF(AND(B128="SELL",E128&gt;0,J128&lt;&gt;""),J128/E128,0)</f>
        <v/>
      </c>
      <c r="L128" s="42" t="n">
        <v>0.5</v>
      </c>
      <c r="M128" s="40">
        <f>IF(AND(B128="SELL",L128&gt;0),D128*L128,0)</f>
        <v/>
      </c>
      <c r="N128" s="36" t="n"/>
      <c r="O128" s="43">
        <f>IF(AND(B128="SELL",G128&lt;&gt;0),Q128/ABS(G128),0)</f>
        <v/>
      </c>
      <c r="P128" s="43">
        <f>IF(AND(B128="SELL",D128&gt;0),R128/D128,0)</f>
        <v/>
      </c>
      <c r="Q128" s="44">
        <f>IF(AND(B128="SELL",D128&gt;0,E128&gt;0),(D128/E128)+G128,0)</f>
        <v/>
      </c>
      <c r="R128" s="45">
        <f>IF(B128="SELL",Q128*F128,0)</f>
        <v/>
      </c>
      <c r="S128" s="24">
        <f>S127+R128</f>
        <v/>
      </c>
    </row>
    <row r="129" ht="15.75" customHeight="1" s="94">
      <c r="A129" s="46" t="n">
        <v>128</v>
      </c>
      <c r="B129" s="47" t="inlineStr">
        <is>
          <t>SELL</t>
        </is>
      </c>
      <c r="C129" s="48" t="n">
        <v>46015</v>
      </c>
      <c r="D129" s="49" t="n">
        <v>20000</v>
      </c>
      <c r="E129" s="50" t="n">
        <v>910.65</v>
      </c>
      <c r="F129" s="50" t="n">
        <v>910.65</v>
      </c>
      <c r="G129" s="51" t="n">
        <v>-21.04</v>
      </c>
      <c r="H129" s="51" t="n"/>
      <c r="I129" s="30" t="n">
        <v>923.3200000000001</v>
      </c>
      <c r="J129" s="51" t="n">
        <v>475.2</v>
      </c>
      <c r="K129" s="52">
        <f>IF(AND(B129="SELL",E129&gt;0,J129&lt;&gt;""),J129/E129,0)</f>
        <v/>
      </c>
      <c r="L129" s="52" t="n">
        <v>0.5</v>
      </c>
      <c r="M129" s="50">
        <f>IF(AND(B129="SELL",L129&gt;0),D129*L129,0)</f>
        <v/>
      </c>
      <c r="N129" s="46" t="n"/>
      <c r="O129" s="53">
        <f>IF(AND(B129="SELL",G129&lt;&gt;0),Q129/ABS(G129),0)</f>
        <v/>
      </c>
      <c r="P129" s="53">
        <f>IF(AND(B129="SELL",D129&gt;0),R129/D129,0)</f>
        <v/>
      </c>
      <c r="Q129" s="54">
        <f>IF(AND(B129="SELL",D129&gt;0,E129&gt;0),(D129/E129)+G129,0)</f>
        <v/>
      </c>
      <c r="R129" s="55">
        <f>IF(B129="SELL",Q129*F129,0)</f>
        <v/>
      </c>
      <c r="S129" s="35">
        <f>S128+R129</f>
        <v/>
      </c>
    </row>
    <row r="130" ht="15.75" customHeight="1" s="94">
      <c r="A130" s="36" t="n">
        <v>129</v>
      </c>
      <c r="B130" s="37" t="inlineStr">
        <is>
          <t>SELL</t>
        </is>
      </c>
      <c r="C130" s="38" t="n">
        <v>46017</v>
      </c>
      <c r="D130" s="39" t="n">
        <v>30000</v>
      </c>
      <c r="E130" s="40" t="n">
        <v>910.65</v>
      </c>
      <c r="F130" s="40" t="n">
        <v>910.65</v>
      </c>
      <c r="G130" s="41" t="n">
        <v>-31.27</v>
      </c>
      <c r="H130" s="41" t="n"/>
      <c r="I130" s="19" t="n">
        <v>892.05</v>
      </c>
      <c r="J130" s="41" t="n">
        <v>490.2</v>
      </c>
      <c r="K130" s="42">
        <f>IF(AND(B130="SELL",E130&gt;0,J130&lt;&gt;""),J130/E130,0)</f>
        <v/>
      </c>
      <c r="L130" s="42" t="n">
        <v>0.511</v>
      </c>
      <c r="M130" s="40">
        <f>IF(AND(B130="SELL",L130&gt;0),D130*L130,0)</f>
        <v/>
      </c>
      <c r="N130" s="36" t="n"/>
      <c r="O130" s="43">
        <f>IF(AND(B130="SELL",G130&lt;&gt;0),Q130/ABS(G130),0)</f>
        <v/>
      </c>
      <c r="P130" s="43">
        <f>IF(AND(B130="SELL",D130&gt;0),R130/D130,0)</f>
        <v/>
      </c>
      <c r="Q130" s="44">
        <f>IF(AND(B130="SELL",D130&gt;0,E130&gt;0),(D130/E130)+G130,0)</f>
        <v/>
      </c>
      <c r="R130" s="45">
        <f>IF(B130="SELL",Q130*F130,0)</f>
        <v/>
      </c>
      <c r="S130" s="24">
        <f>S129+R130</f>
        <v/>
      </c>
    </row>
    <row r="131" ht="15.75" customHeight="1" s="94">
      <c r="A131" s="46" t="n">
        <v>130</v>
      </c>
      <c r="B131" s="47" t="inlineStr">
        <is>
          <t>SELL</t>
        </is>
      </c>
      <c r="C131" s="48" t="n">
        <v>46017</v>
      </c>
      <c r="D131" s="49" t="n">
        <v>68000</v>
      </c>
      <c r="E131" s="50" t="n">
        <v>910.65</v>
      </c>
      <c r="F131" s="50" t="n">
        <v>910.65</v>
      </c>
      <c r="G131" s="51" t="n">
        <v>-69.61</v>
      </c>
      <c r="H131" s="51" t="n"/>
      <c r="I131" s="30" t="n">
        <v>822.4400000000001</v>
      </c>
      <c r="J131" s="51" t="n">
        <v>499.122</v>
      </c>
      <c r="K131" s="52">
        <f>IF(AND(B131="SELL",E131&gt;0,J131&lt;&gt;""),J131/E131,0)</f>
        <v/>
      </c>
      <c r="L131" s="52" t="n">
        <v>0.511</v>
      </c>
      <c r="M131" s="50">
        <f>IF(AND(B131="SELL",L131&gt;0),D131*L131,0)</f>
        <v/>
      </c>
      <c r="N131" s="46" t="n"/>
      <c r="O131" s="53">
        <f>IF(AND(B131="SELL",G131&lt;&gt;0),Q131/ABS(G131),0)</f>
        <v/>
      </c>
      <c r="P131" s="53">
        <f>IF(AND(B131="SELL",D131&gt;0),R131/D131,0)</f>
        <v/>
      </c>
      <c r="Q131" s="54">
        <f>IF(AND(B131="SELL",D131&gt;0,E131&gt;0),(D131/E131)+G131,0)</f>
        <v/>
      </c>
      <c r="R131" s="55">
        <f>IF(B131="SELL",Q131*F131,0)</f>
        <v/>
      </c>
      <c r="S131" s="35">
        <f>S130+R131</f>
        <v/>
      </c>
    </row>
    <row r="132" ht="15.75" customHeight="1" s="94">
      <c r="A132" s="36" t="n">
        <v>131</v>
      </c>
      <c r="B132" s="37" t="inlineStr">
        <is>
          <t>SELL</t>
        </is>
      </c>
      <c r="C132" s="38" t="n">
        <v>46017</v>
      </c>
      <c r="D132" s="39" t="n">
        <v>50000</v>
      </c>
      <c r="E132" s="40" t="n">
        <v>910.65</v>
      </c>
      <c r="F132" s="40" t="n">
        <v>910.65</v>
      </c>
      <c r="G132" s="41" t="n">
        <v>-47.96</v>
      </c>
      <c r="H132" s="41" t="n"/>
      <c r="I132" s="19" t="n">
        <v>774.48</v>
      </c>
      <c r="J132" s="41" t="n">
        <v>532.72</v>
      </c>
      <c r="K132" s="42">
        <f>IF(AND(B132="SELL",E132&gt;0,J132&lt;&gt;""),J132/E132,0)</f>
        <v/>
      </c>
      <c r="L132" s="42" t="n">
        <v>0.511</v>
      </c>
      <c r="M132" s="40">
        <f>IF(AND(B132="SELL",L132&gt;0),D132*L132,0)</f>
        <v/>
      </c>
      <c r="N132" s="36" t="n"/>
      <c r="O132" s="43">
        <f>IF(AND(B132="SELL",G132&lt;&gt;0),Q132/ABS(G132),0)</f>
        <v/>
      </c>
      <c r="P132" s="43">
        <f>IF(AND(B132="SELL",D132&gt;0),R132/D132,0)</f>
        <v/>
      </c>
      <c r="Q132" s="44">
        <f>IF(AND(B132="SELL",D132&gt;0,E132&gt;0),(D132/E132)+G132,0)</f>
        <v/>
      </c>
      <c r="R132" s="45">
        <f>IF(B132="SELL",Q132*F132,0)</f>
        <v/>
      </c>
      <c r="S132" s="24">
        <f>S131+R132</f>
        <v/>
      </c>
    </row>
    <row r="133" ht="15.75" customHeight="1" s="94">
      <c r="A133" s="46" t="n">
        <v>132</v>
      </c>
      <c r="B133" s="47" t="inlineStr">
        <is>
          <t>SELL</t>
        </is>
      </c>
      <c r="C133" s="48" t="n">
        <v>46018</v>
      </c>
      <c r="D133" s="49" t="n">
        <v>50000</v>
      </c>
      <c r="E133" s="50" t="n">
        <v>910.65</v>
      </c>
      <c r="F133" s="50" t="n">
        <v>910.65</v>
      </c>
      <c r="G133" s="51" t="n">
        <v>-50.26</v>
      </c>
      <c r="H133" s="51" t="n"/>
      <c r="I133" s="30" t="n">
        <v>724.22</v>
      </c>
      <c r="J133" s="51" t="n">
        <v>557</v>
      </c>
      <c r="K133" s="52">
        <f>IF(AND(B133="SELL",E133&gt;0,J133&lt;&gt;""),J133/E133,0)</f>
        <v/>
      </c>
      <c r="L133" s="52" t="n">
        <v>0.5600000000000001</v>
      </c>
      <c r="M133" s="50">
        <f>IF(AND(B133="SELL",L133&gt;0),D133*L133,0)</f>
        <v/>
      </c>
      <c r="N133" s="46" t="n"/>
      <c r="O133" s="53">
        <f>IF(AND(B133="SELL",G133&lt;&gt;0),Q133/ABS(G133),0)</f>
        <v/>
      </c>
      <c r="P133" s="53">
        <f>IF(AND(B133="SELL",D133&gt;0),R133/D133,0)</f>
        <v/>
      </c>
      <c r="Q133" s="54">
        <f>IF(AND(B133="SELL",D133&gt;0,E133&gt;0),(D133/E133)+G133,0)</f>
        <v/>
      </c>
      <c r="R133" s="55">
        <f>IF(B133="SELL",Q133*F133,0)</f>
        <v/>
      </c>
      <c r="S133" s="35">
        <f>S132+R133</f>
        <v/>
      </c>
    </row>
    <row r="134" ht="15.75" customHeight="1" s="94">
      <c r="A134" s="36" t="n">
        <v>133</v>
      </c>
      <c r="B134" s="37" t="inlineStr">
        <is>
          <t>SELL</t>
        </is>
      </c>
      <c r="C134" s="38" t="n">
        <v>46018</v>
      </c>
      <c r="D134" s="39" t="n">
        <v>20000</v>
      </c>
      <c r="E134" s="40" t="n">
        <v>910.65</v>
      </c>
      <c r="F134" s="40" t="n">
        <v>910.65</v>
      </c>
      <c r="G134" s="41" t="n">
        <v>-20.1</v>
      </c>
      <c r="H134" s="41" t="n"/>
      <c r="I134" s="19" t="n">
        <v>704.12</v>
      </c>
      <c r="J134" s="41" t="n">
        <v>557</v>
      </c>
      <c r="K134" s="42">
        <f>IF(AND(B134="SELL",E134&gt;0,J134&lt;&gt;""),J134/E134,0)</f>
        <v/>
      </c>
      <c r="L134" s="42" t="n">
        <v>0.5600000000000001</v>
      </c>
      <c r="M134" s="40">
        <f>IF(AND(B134="SELL",L134&gt;0),D134*L134,0)</f>
        <v/>
      </c>
      <c r="N134" s="36" t="n"/>
      <c r="O134" s="43">
        <f>IF(AND(B134="SELL",G134&lt;&gt;0),Q134/ABS(G134),0)</f>
        <v/>
      </c>
      <c r="P134" s="43">
        <f>IF(AND(B134="SELL",D134&gt;0),R134/D134,0)</f>
        <v/>
      </c>
      <c r="Q134" s="44">
        <f>IF(AND(B134="SELL",D134&gt;0,E134&gt;0),(D134/E134)+G134,0)</f>
        <v/>
      </c>
      <c r="R134" s="45">
        <f>IF(B134="SELL",Q134*F134,0)</f>
        <v/>
      </c>
      <c r="S134" s="24">
        <f>S133+R134</f>
        <v/>
      </c>
    </row>
    <row r="135" ht="15.75" customHeight="1" s="94">
      <c r="A135" s="46" t="n">
        <v>134</v>
      </c>
      <c r="B135" s="47" t="inlineStr">
        <is>
          <t>SELL</t>
        </is>
      </c>
      <c r="C135" s="48" t="n">
        <v>46019</v>
      </c>
      <c r="D135" s="49" t="n">
        <v>50000</v>
      </c>
      <c r="E135" s="50" t="n">
        <v>910.65</v>
      </c>
      <c r="F135" s="50" t="n">
        <v>910.65</v>
      </c>
      <c r="G135" s="51" t="n">
        <v>-51.7</v>
      </c>
      <c r="H135" s="51" t="n"/>
      <c r="I135" s="30" t="n">
        <v>652.42</v>
      </c>
      <c r="J135" s="51" t="n">
        <v>541.0700000000001</v>
      </c>
      <c r="K135" s="52">
        <f>IF(AND(B135="SELL",E135&gt;0,J135&lt;&gt;""),J135/E135,0)</f>
        <v/>
      </c>
      <c r="L135" s="52" t="n">
        <v>0.555</v>
      </c>
      <c r="M135" s="50">
        <f>IF(AND(B135="SELL",L135&gt;0),D135*L135,0)</f>
        <v/>
      </c>
      <c r="N135" s="46" t="n"/>
      <c r="O135" s="53">
        <f>IF(AND(B135="SELL",G135&lt;&gt;0),Q135/ABS(G135),0)</f>
        <v/>
      </c>
      <c r="P135" s="53">
        <f>IF(AND(B135="SELL",D135&gt;0),R135/D135,0)</f>
        <v/>
      </c>
      <c r="Q135" s="54">
        <f>IF(AND(B135="SELL",D135&gt;0,E135&gt;0),(D135/E135)+G135,0)</f>
        <v/>
      </c>
      <c r="R135" s="55">
        <f>IF(B135="SELL",Q135*F135,0)</f>
        <v/>
      </c>
      <c r="S135" s="35">
        <f>S134+R135</f>
        <v/>
      </c>
    </row>
    <row r="136" ht="15.75" customHeight="1" s="94">
      <c r="A136" s="36" t="n">
        <v>135</v>
      </c>
      <c r="B136" s="37" t="inlineStr">
        <is>
          <t>SELL</t>
        </is>
      </c>
      <c r="C136" s="38" t="n">
        <v>46019</v>
      </c>
      <c r="D136" s="39" t="n">
        <v>30000</v>
      </c>
      <c r="E136" s="40" t="n">
        <v>910.65</v>
      </c>
      <c r="F136" s="40" t="n">
        <v>910.65</v>
      </c>
      <c r="G136" s="41" t="n">
        <v>-30.9</v>
      </c>
      <c r="H136" s="41" t="n"/>
      <c r="I136" s="19" t="n">
        <v>621.52</v>
      </c>
      <c r="J136" s="41" t="n">
        <v>538.7</v>
      </c>
      <c r="K136" s="42">
        <f>IF(AND(B136="SELL",E136&gt;0,J136&lt;&gt;""),J136/E136,0)</f>
        <v/>
      </c>
      <c r="L136" s="42" t="n">
        <v>0.555</v>
      </c>
      <c r="M136" s="40">
        <f>IF(AND(B136="SELL",L136&gt;0),D136*L136,0)</f>
        <v/>
      </c>
      <c r="N136" s="36" t="n"/>
      <c r="O136" s="43">
        <f>IF(AND(B136="SELL",G136&lt;&gt;0),Q136/ABS(G136),0)</f>
        <v/>
      </c>
      <c r="P136" s="43">
        <f>IF(AND(B136="SELL",D136&gt;0),R136/D136,0)</f>
        <v/>
      </c>
      <c r="Q136" s="44">
        <f>IF(AND(B136="SELL",D136&gt;0,E136&gt;0),(D136/E136)+G136,0)</f>
        <v/>
      </c>
      <c r="R136" s="45">
        <f>IF(B136="SELL",Q136*F136,0)</f>
        <v/>
      </c>
      <c r="S136" s="24">
        <f>S135+R136</f>
        <v/>
      </c>
    </row>
    <row r="137" ht="15.75" customHeight="1" s="94">
      <c r="A137" s="46" t="n">
        <v>136</v>
      </c>
      <c r="B137" s="47" t="inlineStr">
        <is>
          <t>SELL</t>
        </is>
      </c>
      <c r="C137" s="48" t="n">
        <v>46020</v>
      </c>
      <c r="D137" s="49" t="n">
        <v>50000</v>
      </c>
      <c r="E137" s="50" t="n">
        <v>910.65</v>
      </c>
      <c r="F137" s="50" t="n">
        <v>910.65</v>
      </c>
      <c r="G137" s="51" t="n">
        <v>-51.7</v>
      </c>
      <c r="H137" s="51" t="n"/>
      <c r="I137" s="30" t="n">
        <v>569.8200000000001</v>
      </c>
      <c r="J137" s="51" t="n">
        <v>539.6</v>
      </c>
      <c r="K137" s="52">
        <f>IF(AND(B137="SELL",E137&gt;0,J137&lt;&gt;""),J137/E137,0)</f>
        <v/>
      </c>
      <c r="L137" s="52" t="n">
        <v>0.5580000000000001</v>
      </c>
      <c r="M137" s="50">
        <f>IF(AND(B137="SELL",L137&gt;0),D137*L137,0)</f>
        <v/>
      </c>
      <c r="N137" s="46" t="n"/>
      <c r="O137" s="53">
        <f>IF(AND(B137="SELL",G137&lt;&gt;0),Q137/ABS(G137),0)</f>
        <v/>
      </c>
      <c r="P137" s="53">
        <f>IF(AND(B137="SELL",D137&gt;0),R137/D137,0)</f>
        <v/>
      </c>
      <c r="Q137" s="54">
        <f>IF(AND(B137="SELL",D137&gt;0,E137&gt;0),(D137/E137)+G137,0)</f>
        <v/>
      </c>
      <c r="R137" s="55">
        <f>IF(B137="SELL",Q137*F137,0)</f>
        <v/>
      </c>
      <c r="S137" s="35">
        <f>S136+R137</f>
        <v/>
      </c>
    </row>
    <row r="138" ht="15.75" customHeight="1" s="94">
      <c r="A138" s="36" t="n">
        <v>137</v>
      </c>
      <c r="B138" s="37" t="inlineStr">
        <is>
          <t>SELL</t>
        </is>
      </c>
      <c r="C138" s="38" t="n">
        <v>46020</v>
      </c>
      <c r="D138" s="39" t="n">
        <v>214000</v>
      </c>
      <c r="E138" s="40" t="n">
        <v>910.65</v>
      </c>
      <c r="F138" s="40" t="n">
        <v>910.65</v>
      </c>
      <c r="G138" s="41" t="n">
        <v>-222.35</v>
      </c>
      <c r="H138" s="41" t="n"/>
      <c r="I138" s="19" t="n">
        <v>347.47</v>
      </c>
      <c r="J138" s="41" t="n">
        <v>538</v>
      </c>
      <c r="K138" s="42">
        <f>IF(AND(B138="SELL",E138&gt;0,J138&lt;&gt;""),J138/E138,0)</f>
        <v/>
      </c>
      <c r="L138" s="42" t="n">
        <v>0.5580000000000001</v>
      </c>
      <c r="M138" s="40">
        <f>IF(AND(B138="SELL",L138&gt;0),D138*L138,0)</f>
        <v/>
      </c>
      <c r="N138" s="36" t="n"/>
      <c r="O138" s="43">
        <f>IF(AND(B138="SELL",G138&lt;&gt;0),Q138/ABS(G138),0)</f>
        <v/>
      </c>
      <c r="P138" s="43">
        <f>IF(AND(B138="SELL",D138&gt;0),R138/D138,0)</f>
        <v/>
      </c>
      <c r="Q138" s="44">
        <f>IF(AND(B138="SELL",D138&gt;0,E138&gt;0),(D138/E138)+G138,0)</f>
        <v/>
      </c>
      <c r="R138" s="45">
        <f>IF(B138="SELL",Q138*F138,0)</f>
        <v/>
      </c>
      <c r="S138" s="24">
        <f>S137+R138</f>
        <v/>
      </c>
    </row>
    <row r="139" ht="15.75" customHeight="1" s="94">
      <c r="A139" s="25" t="n">
        <v>138</v>
      </c>
      <c r="B139" s="26" t="inlineStr">
        <is>
          <t>BUY</t>
        </is>
      </c>
      <c r="C139" s="27" t="n">
        <v>46020</v>
      </c>
      <c r="D139" s="28" t="n">
        <v>2853300</v>
      </c>
      <c r="E139" s="29" t="n">
        <v>912</v>
      </c>
      <c r="F139" s="29" t="n">
        <v>912</v>
      </c>
      <c r="G139" s="30" t="n">
        <v>3128.61</v>
      </c>
      <c r="H139" s="30" t="n"/>
      <c r="I139" s="30" t="n">
        <v>3476.08</v>
      </c>
      <c r="J139" s="30" t="n"/>
      <c r="K139" s="31">
        <f>IF(AND(B139="SELL",E139&gt;0,J139&lt;&gt;""),J139/E139,0)</f>
        <v/>
      </c>
      <c r="L139" s="31" t="n">
        <v>0</v>
      </c>
      <c r="M139" s="29">
        <f>IF(AND(B139="SELL",L139&gt;0),D139*L139,0)</f>
        <v/>
      </c>
      <c r="N139" s="25" t="n"/>
      <c r="O139" s="32">
        <f>IF(AND(B139="SELL",G139&lt;&gt;0),Q139/ABS(G139),0)</f>
        <v/>
      </c>
      <c r="P139" s="32">
        <f>IF(AND(B139="SELL",D139&gt;0),R139/D139,0)</f>
        <v/>
      </c>
      <c r="Q139" s="33">
        <f>IF(AND(B139="SELL",D139&gt;0,E139&gt;0),(D139/E139)+G139,0)</f>
        <v/>
      </c>
      <c r="R139" s="34">
        <f>IF(B139="SELL",Q139*F139,0)</f>
        <v/>
      </c>
      <c r="S139" s="35">
        <f>S138+R139</f>
        <v/>
      </c>
    </row>
    <row r="140" ht="15.75" customHeight="1" s="94">
      <c r="A140" s="36" t="n">
        <v>139</v>
      </c>
      <c r="B140" s="37" t="inlineStr">
        <is>
          <t>SELL</t>
        </is>
      </c>
      <c r="C140" s="38" t="n">
        <v>46020</v>
      </c>
      <c r="D140" s="39" t="n">
        <v>980000</v>
      </c>
      <c r="E140" s="40" t="n">
        <v>912</v>
      </c>
      <c r="F140" s="40" t="n">
        <v>910.65</v>
      </c>
      <c r="G140" s="41" t="n">
        <v>-1015</v>
      </c>
      <c r="H140" s="41" t="n"/>
      <c r="I140" s="19" t="n">
        <v>2461.08</v>
      </c>
      <c r="J140" s="41" t="n">
        <v>912</v>
      </c>
      <c r="K140" s="42">
        <f>IF(AND(B140="SELL",E140&gt;0,J140&lt;&gt;""),J140/E140,0)</f>
        <v/>
      </c>
      <c r="L140" s="42" t="n">
        <v>0.0010358</v>
      </c>
      <c r="M140" s="40">
        <f>IF(AND(B140="SELL",L140&gt;0),D140*L140,0)</f>
        <v/>
      </c>
      <c r="N140" s="36" t="n"/>
      <c r="O140" s="43">
        <f>IF(AND(B140="SELL",G140&lt;&gt;0),Q140/ABS(G140),0)</f>
        <v/>
      </c>
      <c r="P140" s="43">
        <f>IF(AND(B140="SELL",D140&gt;0),R140/D140,0)</f>
        <v/>
      </c>
      <c r="Q140" s="44">
        <f>IF(AND(B140="SELL",D140&gt;0,E140&gt;0),(D140/E140)+G140,0)</f>
        <v/>
      </c>
      <c r="R140" s="45">
        <f>IF(B140="SELL",Q140*F140,0)</f>
        <v/>
      </c>
      <c r="S140" s="24">
        <f>S139+R140</f>
        <v/>
      </c>
    </row>
    <row r="141" ht="15.75" customHeight="1" s="94">
      <c r="A141" s="46" t="n">
        <v>140</v>
      </c>
      <c r="B141" s="47" t="inlineStr">
        <is>
          <t>SELL</t>
        </is>
      </c>
      <c r="C141" s="48" t="n">
        <v>46020</v>
      </c>
      <c r="D141" s="49" t="n">
        <v>20000</v>
      </c>
      <c r="E141" s="50" t="n">
        <v>912</v>
      </c>
      <c r="F141" s="50" t="n">
        <v>910.65</v>
      </c>
      <c r="G141" s="51" t="n">
        <v>-20.43</v>
      </c>
      <c r="H141" s="51" t="n"/>
      <c r="I141" s="30" t="n">
        <v>2440.65</v>
      </c>
      <c r="J141" s="51" t="n">
        <v>546</v>
      </c>
      <c r="K141" s="52">
        <f>IF(AND(B141="SELL",E141&gt;0,J141&lt;&gt;""),J141/E141,0)</f>
        <v/>
      </c>
      <c r="L141" s="52" t="n">
        <v>0.5580000000000001</v>
      </c>
      <c r="M141" s="50">
        <f>IF(AND(B141="SELL",L141&gt;0),D141*L141,0)</f>
        <v/>
      </c>
      <c r="N141" s="46" t="n"/>
      <c r="O141" s="53">
        <f>IF(AND(B141="SELL",G141&lt;&gt;0),Q141/ABS(G141),0)</f>
        <v/>
      </c>
      <c r="P141" s="53">
        <f>IF(AND(B141="SELL",D141&gt;0),R141/D141,0)</f>
        <v/>
      </c>
      <c r="Q141" s="54">
        <f>IF(AND(B141="SELL",D141&gt;0,E141&gt;0),(D141/E141)+G141,0)</f>
        <v/>
      </c>
      <c r="R141" s="55">
        <f>IF(B141="SELL",Q141*F141,0)</f>
        <v/>
      </c>
      <c r="S141" s="35">
        <f>S140+R141</f>
        <v/>
      </c>
    </row>
    <row r="142" ht="15.75" customHeight="1" s="94">
      <c r="A142" s="36" t="n">
        <v>141</v>
      </c>
      <c r="B142" s="37" t="inlineStr">
        <is>
          <t>SELL</t>
        </is>
      </c>
      <c r="C142" s="38" t="n">
        <v>46020</v>
      </c>
      <c r="D142" s="39" t="n">
        <v>205000</v>
      </c>
      <c r="E142" s="40" t="n">
        <v>912</v>
      </c>
      <c r="F142" s="40" t="n">
        <v>910.65</v>
      </c>
      <c r="G142" s="41" t="n">
        <v>-206.77</v>
      </c>
      <c r="H142" s="41" t="n"/>
      <c r="I142" s="19" t="n">
        <v>2233.88</v>
      </c>
      <c r="J142" s="41" t="n">
        <v>554.2</v>
      </c>
      <c r="K142" s="42">
        <f>IF(AND(B142="SELL",E142&gt;0,J142&lt;&gt;""),J142/E142,0)</f>
        <v/>
      </c>
      <c r="L142" s="42" t="n">
        <v>0.5590000000000001</v>
      </c>
      <c r="M142" s="40">
        <f>IF(AND(B142="SELL",L142&gt;0),D142*L142,0)</f>
        <v/>
      </c>
      <c r="N142" s="36" t="n"/>
      <c r="O142" s="43">
        <f>IF(AND(B142="SELL",G142&lt;&gt;0),Q142/ABS(G142),0)</f>
        <v/>
      </c>
      <c r="P142" s="43">
        <f>IF(AND(B142="SELL",D142&gt;0),R142/D142,0)</f>
        <v/>
      </c>
      <c r="Q142" s="44">
        <f>IF(AND(B142="SELL",D142&gt;0,E142&gt;0),(D142/E142)+G142,0)</f>
        <v/>
      </c>
      <c r="R142" s="45">
        <f>IF(B142="SELL",Q142*F142,0)</f>
        <v/>
      </c>
      <c r="S142" s="24">
        <f>S141+R142</f>
        <v/>
      </c>
    </row>
    <row r="143" ht="15.75" customHeight="1" s="94">
      <c r="A143" s="46" t="n">
        <v>142</v>
      </c>
      <c r="B143" s="47" t="inlineStr">
        <is>
          <t>SELL</t>
        </is>
      </c>
      <c r="C143" s="48" t="n">
        <v>46021</v>
      </c>
      <c r="D143" s="49" t="n">
        <v>50000</v>
      </c>
      <c r="E143" s="50" t="n">
        <v>912</v>
      </c>
      <c r="F143" s="50" t="n">
        <v>910.65</v>
      </c>
      <c r="G143" s="51" t="n">
        <v>-52.5</v>
      </c>
      <c r="H143" s="51" t="n"/>
      <c r="I143" s="30" t="n">
        <v>2181.38</v>
      </c>
      <c r="J143" s="51" t="n">
        <v>539.001</v>
      </c>
      <c r="K143" s="52">
        <f>IF(AND(B143="SELL",E143&gt;0,J143&lt;&gt;""),J143/E143,0)</f>
        <v/>
      </c>
      <c r="L143" s="52" t="n">
        <v>0.5659999999999999</v>
      </c>
      <c r="M143" s="50">
        <f>IF(AND(B143="SELL",L143&gt;0),D143*L143,0)</f>
        <v/>
      </c>
      <c r="N143" s="46" t="n"/>
      <c r="O143" s="53">
        <f>IF(AND(B143="SELL",G143&lt;&gt;0),Q143/ABS(G143),0)</f>
        <v/>
      </c>
      <c r="P143" s="53">
        <f>IF(AND(B143="SELL",D143&gt;0),R143/D143,0)</f>
        <v/>
      </c>
      <c r="Q143" s="54">
        <f>IF(AND(B143="SELL",D143&gt;0,E143&gt;0),(D143/E143)+G143,0)</f>
        <v/>
      </c>
      <c r="R143" s="55">
        <f>IF(B143="SELL",Q143*F143,0)</f>
        <v/>
      </c>
      <c r="S143" s="35">
        <f>S142+R143</f>
        <v/>
      </c>
    </row>
    <row r="144" ht="15.75" customHeight="1" s="94">
      <c r="A144" s="36" t="n">
        <v>143</v>
      </c>
      <c r="B144" s="37" t="inlineStr">
        <is>
          <t>SELL</t>
        </is>
      </c>
      <c r="C144" s="38" t="n">
        <v>46021</v>
      </c>
      <c r="D144" s="39" t="n">
        <v>260000</v>
      </c>
      <c r="E144" s="40" t="n">
        <v>912</v>
      </c>
      <c r="F144" s="40" t="n">
        <v>910.65</v>
      </c>
      <c r="G144" s="41" t="n">
        <v>-270.58</v>
      </c>
      <c r="H144" s="41" t="n"/>
      <c r="I144" s="19" t="n">
        <v>1910.8</v>
      </c>
      <c r="J144" s="41" t="n">
        <v>17.68</v>
      </c>
      <c r="K144" s="42">
        <f>IF(AND(B144="SELL",E144&gt;0,J144&lt;&gt;""),J144/E144,0)</f>
        <v/>
      </c>
      <c r="L144" s="42" t="n">
        <v>0.0184</v>
      </c>
      <c r="M144" s="40">
        <f>IF(AND(B144="SELL",L144&gt;0),D144*L144,0)</f>
        <v/>
      </c>
      <c r="N144" s="36" t="n"/>
      <c r="O144" s="43">
        <f>IF(AND(B144="SELL",G144&lt;&gt;0),Q144/ABS(G144),0)</f>
        <v/>
      </c>
      <c r="P144" s="43">
        <f>IF(AND(B144="SELL",D144&gt;0),R144/D144,0)</f>
        <v/>
      </c>
      <c r="Q144" s="44">
        <f>IF(AND(B144="SELL",D144&gt;0,E144&gt;0),(D144/E144)+G144,0)</f>
        <v/>
      </c>
      <c r="R144" s="45">
        <f>IF(B144="SELL",Q144*F144,0)</f>
        <v/>
      </c>
      <c r="S144" s="24">
        <f>S143+R144</f>
        <v/>
      </c>
    </row>
    <row r="145" ht="15.75" customHeight="1" s="94">
      <c r="A145" s="46" t="n">
        <v>144</v>
      </c>
      <c r="B145" s="47" t="inlineStr">
        <is>
          <t>SELL</t>
        </is>
      </c>
      <c r="C145" s="48" t="n">
        <v>46021</v>
      </c>
      <c r="D145" s="49" t="n">
        <v>10000</v>
      </c>
      <c r="E145" s="50" t="n">
        <v>912</v>
      </c>
      <c r="F145" s="50" t="n">
        <v>910.65</v>
      </c>
      <c r="G145" s="51" t="n">
        <v>-10.41</v>
      </c>
      <c r="H145" s="51" t="n"/>
      <c r="I145" s="30" t="n">
        <v>1900.39</v>
      </c>
      <c r="J145" s="51" t="n">
        <v>543.311</v>
      </c>
      <c r="K145" s="52">
        <f>IF(AND(B145="SELL",E145&gt;0,J145&lt;&gt;""),J145/E145,0)</f>
        <v/>
      </c>
      <c r="L145" s="52" t="n">
        <v>0.5659999999999999</v>
      </c>
      <c r="M145" s="50">
        <f>IF(AND(B145="SELL",L145&gt;0),D145*L145,0)</f>
        <v/>
      </c>
      <c r="N145" s="46" t="n"/>
      <c r="O145" s="53">
        <f>IF(AND(B145="SELL",G145&lt;&gt;0),Q145/ABS(G145),0)</f>
        <v/>
      </c>
      <c r="P145" s="53">
        <f>IF(AND(B145="SELL",D145&gt;0),R145/D145,0)</f>
        <v/>
      </c>
      <c r="Q145" s="54">
        <f>IF(AND(B145="SELL",D145&gt;0,E145&gt;0),(D145/E145)+G145,0)</f>
        <v/>
      </c>
      <c r="R145" s="55">
        <f>IF(B145="SELL",Q145*F145,0)</f>
        <v/>
      </c>
      <c r="S145" s="35">
        <f>S144+R145</f>
        <v/>
      </c>
    </row>
    <row r="146" ht="15.75" customHeight="1" s="94">
      <c r="A146" s="36" t="n">
        <v>145</v>
      </c>
      <c r="B146" s="37" t="inlineStr">
        <is>
          <t>SELL</t>
        </is>
      </c>
      <c r="C146" s="38" t="n">
        <v>46021</v>
      </c>
      <c r="D146" s="39" t="n">
        <v>34000</v>
      </c>
      <c r="E146" s="40" t="n">
        <v>912</v>
      </c>
      <c r="F146" s="40" t="n">
        <v>910.65</v>
      </c>
      <c r="G146" s="41" t="n">
        <v>-34.76</v>
      </c>
      <c r="H146" s="41" t="n"/>
      <c r="I146" s="19" t="n">
        <v>1865.63</v>
      </c>
      <c r="J146" s="41" t="n">
        <v>553.5</v>
      </c>
      <c r="K146" s="42">
        <f>IF(AND(B146="SELL",E146&gt;0,J146&lt;&gt;""),J146/E146,0)</f>
        <v/>
      </c>
      <c r="L146" s="42" t="n">
        <v>0.5659999999999999</v>
      </c>
      <c r="M146" s="40">
        <f>IF(AND(B146="SELL",L146&gt;0),D146*L146,0)</f>
        <v/>
      </c>
      <c r="N146" s="36" t="n"/>
      <c r="O146" s="43">
        <f>IF(AND(B146="SELL",G146&lt;&gt;0),Q146/ABS(G146),0)</f>
        <v/>
      </c>
      <c r="P146" s="43">
        <f>IF(AND(B146="SELL",D146&gt;0),R146/D146,0)</f>
        <v/>
      </c>
      <c r="Q146" s="44">
        <f>IF(AND(B146="SELL",D146&gt;0,E146&gt;0),(D146/E146)+G146,0)</f>
        <v/>
      </c>
      <c r="R146" s="45">
        <f>IF(B146="SELL",Q146*F146,0)</f>
        <v/>
      </c>
      <c r="S146" s="24">
        <f>S145+R146</f>
        <v/>
      </c>
    </row>
    <row r="147" ht="15.75" customHeight="1" s="94">
      <c r="A147" s="46" t="n">
        <v>146</v>
      </c>
      <c r="B147" s="47" t="inlineStr">
        <is>
          <t>SELL</t>
        </is>
      </c>
      <c r="C147" s="48" t="n">
        <v>46021</v>
      </c>
      <c r="D147" s="49" t="n">
        <v>50000</v>
      </c>
      <c r="E147" s="50" t="n">
        <v>912</v>
      </c>
      <c r="F147" s="50" t="n">
        <v>910.65</v>
      </c>
      <c r="G147" s="51" t="n">
        <v>-51.58</v>
      </c>
      <c r="H147" s="51" t="n"/>
      <c r="I147" s="30" t="n">
        <v>1814.05</v>
      </c>
      <c r="J147" s="51" t="n">
        <v>554.5</v>
      </c>
      <c r="K147" s="52">
        <f>IF(AND(B147="SELL",E147&gt;0,J147&lt;&gt;""),J147/E147,0)</f>
        <v/>
      </c>
      <c r="L147" s="52" t="n">
        <v>0.572</v>
      </c>
      <c r="M147" s="50">
        <f>IF(AND(B147="SELL",L147&gt;0),D147*L147,0)</f>
        <v/>
      </c>
      <c r="N147" s="46" t="n"/>
      <c r="O147" s="53">
        <f>IF(AND(B147="SELL",G147&lt;&gt;0),Q147/ABS(G147),0)</f>
        <v/>
      </c>
      <c r="P147" s="53">
        <f>IF(AND(B147="SELL",D147&gt;0),R147/D147,0)</f>
        <v/>
      </c>
      <c r="Q147" s="54">
        <f>IF(AND(B147="SELL",D147&gt;0,E147&gt;0),(D147/E147)+G147,0)</f>
        <v/>
      </c>
      <c r="R147" s="55">
        <f>IF(B147="SELL",Q147*F147,0)</f>
        <v/>
      </c>
      <c r="S147" s="35">
        <f>S146+R147</f>
        <v/>
      </c>
    </row>
    <row r="148" ht="15.75" customHeight="1" s="94">
      <c r="A148" s="36" t="n">
        <v>147</v>
      </c>
      <c r="B148" s="37" t="inlineStr">
        <is>
          <t>SELL</t>
        </is>
      </c>
      <c r="C148" s="38" t="n">
        <v>46021</v>
      </c>
      <c r="D148" s="39" t="n">
        <v>25000</v>
      </c>
      <c r="E148" s="40" t="n">
        <v>912</v>
      </c>
      <c r="F148" s="40" t="n">
        <v>910.65</v>
      </c>
      <c r="G148" s="41" t="n">
        <v>-25.47</v>
      </c>
      <c r="H148" s="41" t="n"/>
      <c r="I148" s="19" t="n">
        <v>1788.58</v>
      </c>
      <c r="J148" s="41" t="n">
        <v>555.4</v>
      </c>
      <c r="K148" s="42">
        <f>IF(AND(B148="SELL",E148&gt;0,J148&lt;&gt;""),J148/E148,0)</f>
        <v/>
      </c>
      <c r="L148" s="42" t="n">
        <v>0.5659999999999999</v>
      </c>
      <c r="M148" s="40">
        <f>IF(AND(B148="SELL",L148&gt;0),D148*L148,0)</f>
        <v/>
      </c>
      <c r="N148" s="36" t="n"/>
      <c r="O148" s="43">
        <f>IF(AND(B148="SELL",G148&lt;&gt;0),Q148/ABS(G148),0)</f>
        <v/>
      </c>
      <c r="P148" s="43">
        <f>IF(AND(B148="SELL",D148&gt;0),R148/D148,0)</f>
        <v/>
      </c>
      <c r="Q148" s="44">
        <f>IF(AND(B148="SELL",D148&gt;0,E148&gt;0),(D148/E148)+G148,0)</f>
        <v/>
      </c>
      <c r="R148" s="45">
        <f>IF(B148="SELL",Q148*F148,0)</f>
        <v/>
      </c>
      <c r="S148" s="24">
        <f>S147+R148</f>
        <v/>
      </c>
    </row>
    <row r="149" ht="15.75" customHeight="1" s="94">
      <c r="A149" s="46" t="n">
        <v>148</v>
      </c>
      <c r="B149" s="47" t="inlineStr">
        <is>
          <t>SELL</t>
        </is>
      </c>
      <c r="C149" s="48" t="n">
        <v>46021</v>
      </c>
      <c r="D149" s="49" t="n">
        <v>40000</v>
      </c>
      <c r="E149" s="50" t="n">
        <v>912</v>
      </c>
      <c r="F149" s="50" t="n">
        <v>910.65</v>
      </c>
      <c r="G149" s="51" t="n">
        <v>-40.5</v>
      </c>
      <c r="H149" s="51" t="n"/>
      <c r="I149" s="30" t="n">
        <v>1748.08</v>
      </c>
      <c r="J149" s="51" t="n">
        <v>559</v>
      </c>
      <c r="K149" s="52">
        <f>IF(AND(B149="SELL",E149&gt;0,J149&lt;&gt;""),J149/E149,0)</f>
        <v/>
      </c>
      <c r="L149" s="52" t="n">
        <v>0.5659999999999999</v>
      </c>
      <c r="M149" s="50">
        <f>IF(AND(B149="SELL",L149&gt;0),D149*L149,0)</f>
        <v/>
      </c>
      <c r="N149" s="46" t="n"/>
      <c r="O149" s="53">
        <f>IF(AND(B149="SELL",G149&lt;&gt;0),Q149/ABS(G149),0)</f>
        <v/>
      </c>
      <c r="P149" s="53">
        <f>IF(AND(B149="SELL",D149&gt;0),R149/D149,0)</f>
        <v/>
      </c>
      <c r="Q149" s="54">
        <f>IF(AND(B149="SELL",D149&gt;0,E149&gt;0),(D149/E149)+G149,0)</f>
        <v/>
      </c>
      <c r="R149" s="55">
        <f>IF(B149="SELL",Q149*F149,0)</f>
        <v/>
      </c>
      <c r="S149" s="35">
        <f>S148+R149</f>
        <v/>
      </c>
    </row>
    <row r="150" ht="15.75" customHeight="1" s="94">
      <c r="A150" s="36" t="n">
        <v>149</v>
      </c>
      <c r="B150" s="37" t="inlineStr">
        <is>
          <t>SELL</t>
        </is>
      </c>
      <c r="C150" s="38" t="n">
        <v>46021</v>
      </c>
      <c r="D150" s="39" t="n">
        <v>50000</v>
      </c>
      <c r="E150" s="40" t="n">
        <v>912</v>
      </c>
      <c r="F150" s="40" t="n">
        <v>910.65</v>
      </c>
      <c r="G150" s="41" t="n">
        <v>-50.13</v>
      </c>
      <c r="H150" s="41" t="n"/>
      <c r="I150" s="19" t="n">
        <v>1697.95</v>
      </c>
      <c r="J150" s="41" t="n">
        <v>554.1</v>
      </c>
      <c r="K150" s="42">
        <f>IF(AND(B150="SELL",E150&gt;0,J150&lt;&gt;""),J150/E150,0)</f>
        <v/>
      </c>
      <c r="L150" s="42" t="n">
        <v>0.5659999999999999</v>
      </c>
      <c r="M150" s="40">
        <f>IF(AND(B150="SELL",L150&gt;0),D150*L150,0)</f>
        <v/>
      </c>
      <c r="N150" s="36" t="n"/>
      <c r="O150" s="43">
        <f>IF(AND(B150="SELL",G150&lt;&gt;0),Q150/ABS(G150),0)</f>
        <v/>
      </c>
      <c r="P150" s="43">
        <f>IF(AND(B150="SELL",D150&gt;0),R150/D150,0)</f>
        <v/>
      </c>
      <c r="Q150" s="44">
        <f>IF(AND(B150="SELL",D150&gt;0,E150&gt;0),(D150/E150)+G150,0)</f>
        <v/>
      </c>
      <c r="R150" s="45">
        <f>IF(B150="SELL",Q150*F150,0)</f>
        <v/>
      </c>
      <c r="S150" s="24">
        <f>S149+R150</f>
        <v/>
      </c>
    </row>
    <row r="151" ht="15.75" customHeight="1" s="94">
      <c r="A151" s="46" t="n">
        <v>150</v>
      </c>
      <c r="B151" s="47" t="inlineStr">
        <is>
          <t>SELL</t>
        </is>
      </c>
      <c r="C151" s="48" t="n">
        <v>46021</v>
      </c>
      <c r="D151" s="49" t="n">
        <v>10000</v>
      </c>
      <c r="E151" s="50" t="n">
        <v>912</v>
      </c>
      <c r="F151" s="50" t="n">
        <v>910.65</v>
      </c>
      <c r="G151" s="51" t="n">
        <v>-10.32</v>
      </c>
      <c r="H151" s="51" t="n"/>
      <c r="I151" s="30" t="n">
        <v>1687.63</v>
      </c>
      <c r="J151" s="51" t="n">
        <v>548.2</v>
      </c>
      <c r="K151" s="52">
        <f>IF(AND(B151="SELL",E151&gt;0,J151&lt;&gt;""),J151/E151,0)</f>
        <v/>
      </c>
      <c r="L151" s="52" t="n">
        <v>0.5659999999999999</v>
      </c>
      <c r="M151" s="50">
        <f>IF(AND(B151="SELL",L151&gt;0),D151*L151,0)</f>
        <v/>
      </c>
      <c r="N151" s="46" t="n"/>
      <c r="O151" s="53">
        <f>IF(AND(B151="SELL",G151&lt;&gt;0),Q151/ABS(G151),0)</f>
        <v/>
      </c>
      <c r="P151" s="53">
        <f>IF(AND(B151="SELL",D151&gt;0),R151/D151,0)</f>
        <v/>
      </c>
      <c r="Q151" s="54">
        <f>IF(AND(B151="SELL",D151&gt;0,E151&gt;0),(D151/E151)+G151,0)</f>
        <v/>
      </c>
      <c r="R151" s="55">
        <f>IF(B151="SELL",Q151*F151,0)</f>
        <v/>
      </c>
      <c r="S151" s="35">
        <f>S150+R151</f>
        <v/>
      </c>
    </row>
    <row r="152" ht="15.75" customHeight="1" s="94">
      <c r="A152" s="36" t="n">
        <v>151</v>
      </c>
      <c r="B152" s="37" t="inlineStr">
        <is>
          <t>SELL</t>
        </is>
      </c>
      <c r="C152" s="38" t="n">
        <v>46021</v>
      </c>
      <c r="D152" s="39" t="n">
        <v>11600</v>
      </c>
      <c r="E152" s="40" t="n">
        <v>912</v>
      </c>
      <c r="F152" s="40" t="n">
        <v>910.65</v>
      </c>
      <c r="G152" s="41" t="n">
        <v>-11.91</v>
      </c>
      <c r="H152" s="41" t="n"/>
      <c r="I152" s="19" t="n">
        <v>1675.72</v>
      </c>
      <c r="J152" s="41" t="n">
        <v>551.1</v>
      </c>
      <c r="K152" s="42">
        <f>IF(AND(B152="SELL",E152&gt;0,J152&lt;&gt;""),J152/E152,0)</f>
        <v/>
      </c>
      <c r="L152" s="42" t="n">
        <v>0.5659999999999999</v>
      </c>
      <c r="M152" s="40">
        <f>IF(AND(B152="SELL",L152&gt;0),D152*L152,0)</f>
        <v/>
      </c>
      <c r="N152" s="36" t="n"/>
      <c r="O152" s="43">
        <f>IF(AND(B152="SELL",G152&lt;&gt;0),Q152/ABS(G152),0)</f>
        <v/>
      </c>
      <c r="P152" s="43">
        <f>IF(AND(B152="SELL",D152&gt;0),R152/D152,0)</f>
        <v/>
      </c>
      <c r="Q152" s="44">
        <f>IF(AND(B152="SELL",D152&gt;0,E152&gt;0),(D152/E152)+G152,0)</f>
        <v/>
      </c>
      <c r="R152" s="45">
        <f>IF(B152="SELL",Q152*F152,0)</f>
        <v/>
      </c>
      <c r="S152" s="24">
        <f>S151+R152</f>
        <v/>
      </c>
    </row>
    <row r="153" ht="15.75" customHeight="1" s="94">
      <c r="A153" s="46" t="n">
        <v>152</v>
      </c>
      <c r="B153" s="47" t="inlineStr">
        <is>
          <t>SELL</t>
        </is>
      </c>
      <c r="C153" s="48" t="n">
        <v>46021</v>
      </c>
      <c r="D153" s="49" t="n">
        <v>60000</v>
      </c>
      <c r="E153" s="50" t="n">
        <v>912</v>
      </c>
      <c r="F153" s="50" t="n">
        <v>910.65</v>
      </c>
      <c r="G153" s="51" t="n">
        <v>-59.72</v>
      </c>
      <c r="H153" s="51" t="n"/>
      <c r="I153" s="30" t="n">
        <v>1616</v>
      </c>
      <c r="J153" s="51" t="n">
        <v>568.6</v>
      </c>
      <c r="K153" s="52">
        <f>IF(AND(B153="SELL",E153&gt;0,J153&lt;&gt;""),J153/E153,0)</f>
        <v/>
      </c>
      <c r="L153" s="52" t="n">
        <v>0.5659999999999999</v>
      </c>
      <c r="M153" s="50">
        <f>IF(AND(B153="SELL",L153&gt;0),D153*L153,0)</f>
        <v/>
      </c>
      <c r="N153" s="46" t="n"/>
      <c r="O153" s="53">
        <f>IF(AND(B153="SELL",G153&lt;&gt;0),Q153/ABS(G153),0)</f>
        <v/>
      </c>
      <c r="P153" s="53">
        <f>IF(AND(B153="SELL",D153&gt;0),R153/D153,0)</f>
        <v/>
      </c>
      <c r="Q153" s="54">
        <f>IF(AND(B153="SELL",D153&gt;0,E153&gt;0),(D153/E153)+G153,0)</f>
        <v/>
      </c>
      <c r="R153" s="55">
        <f>IF(B153="SELL",Q153*F153,0)</f>
        <v/>
      </c>
      <c r="S153" s="35">
        <f>S152+R153</f>
        <v/>
      </c>
    </row>
    <row r="154" ht="15.75" customHeight="1" s="94">
      <c r="A154" s="36" t="n">
        <v>153</v>
      </c>
      <c r="B154" s="37" t="inlineStr">
        <is>
          <t>SELL</t>
        </is>
      </c>
      <c r="C154" s="38" t="n">
        <v>46021</v>
      </c>
      <c r="D154" s="39" t="n">
        <v>20000</v>
      </c>
      <c r="E154" s="40" t="n">
        <v>912</v>
      </c>
      <c r="F154" s="40" t="n">
        <v>910.65</v>
      </c>
      <c r="G154" s="41" t="n">
        <v>-19.99</v>
      </c>
      <c r="H154" s="41" t="n"/>
      <c r="I154" s="19" t="n">
        <v>1596.01</v>
      </c>
      <c r="J154" s="41" t="n">
        <v>566.1</v>
      </c>
      <c r="K154" s="42">
        <f>IF(AND(B154="SELL",E154&gt;0,J154&lt;&gt;""),J154/E154,0)</f>
        <v/>
      </c>
      <c r="L154" s="42" t="n">
        <v>0.5659999999999999</v>
      </c>
      <c r="M154" s="40">
        <f>IF(AND(B154="SELL",L154&gt;0),D154*L154,0)</f>
        <v/>
      </c>
      <c r="N154" s="36" t="n"/>
      <c r="O154" s="43">
        <f>IF(AND(B154="SELL",G154&lt;&gt;0),Q154/ABS(G154),0)</f>
        <v/>
      </c>
      <c r="P154" s="43">
        <f>IF(AND(B154="SELL",D154&gt;0),R154/D154,0)</f>
        <v/>
      </c>
      <c r="Q154" s="44">
        <f>IF(AND(B154="SELL",D154&gt;0,E154&gt;0),(D154/E154)+G154,0)</f>
        <v/>
      </c>
      <c r="R154" s="45">
        <f>IF(B154="SELL",Q154*F154,0)</f>
        <v/>
      </c>
      <c r="S154" s="24">
        <f>S153+R154</f>
        <v/>
      </c>
    </row>
    <row r="155" ht="15.75" customHeight="1" s="94">
      <c r="A155" s="46" t="n">
        <v>154</v>
      </c>
      <c r="B155" s="47" t="inlineStr">
        <is>
          <t>SELL</t>
        </is>
      </c>
      <c r="C155" s="48" t="n">
        <v>46021</v>
      </c>
      <c r="D155" s="49" t="n">
        <v>100000</v>
      </c>
      <c r="E155" s="50" t="n">
        <v>912</v>
      </c>
      <c r="F155" s="50" t="n">
        <v>910.65</v>
      </c>
      <c r="G155" s="51" t="n">
        <v>-97.91</v>
      </c>
      <c r="H155" s="51" t="n"/>
      <c r="I155" s="30" t="n">
        <v>1498.1</v>
      </c>
      <c r="J155" s="51" t="n">
        <v>578.0599999999999</v>
      </c>
      <c r="K155" s="52">
        <f>IF(AND(B155="SELL",E155&gt;0,J155&lt;&gt;""),J155/E155,0)</f>
        <v/>
      </c>
      <c r="L155" s="52" t="n">
        <v>0.5659999999999999</v>
      </c>
      <c r="M155" s="50">
        <f>IF(AND(B155="SELL",L155&gt;0),D155*L155,0)</f>
        <v/>
      </c>
      <c r="N155" s="46" t="n"/>
      <c r="O155" s="53">
        <f>IF(AND(B155="SELL",G155&lt;&gt;0),Q155/ABS(G155),0)</f>
        <v/>
      </c>
      <c r="P155" s="53">
        <f>IF(AND(B155="SELL",D155&gt;0),R155/D155,0)</f>
        <v/>
      </c>
      <c r="Q155" s="54">
        <f>IF(AND(B155="SELL",D155&gt;0,E155&gt;0),(D155/E155)+G155,0)</f>
        <v/>
      </c>
      <c r="R155" s="55">
        <f>IF(B155="SELL",Q155*F155,0)</f>
        <v/>
      </c>
      <c r="S155" s="35">
        <f>S154+R155</f>
        <v/>
      </c>
    </row>
    <row r="156" ht="15.75" customHeight="1" s="94">
      <c r="A156" s="36" t="n">
        <v>155</v>
      </c>
      <c r="B156" s="37" t="inlineStr">
        <is>
          <t>SELL</t>
        </is>
      </c>
      <c r="C156" s="38" t="n">
        <v>46021</v>
      </c>
      <c r="D156" s="39" t="n">
        <v>105000</v>
      </c>
      <c r="E156" s="40" t="n">
        <v>912</v>
      </c>
      <c r="F156" s="40" t="n">
        <v>910.65</v>
      </c>
      <c r="G156" s="41" t="n">
        <v>-102.07</v>
      </c>
      <c r="H156" s="41" t="n"/>
      <c r="I156" s="19" t="n">
        <v>1396.03</v>
      </c>
      <c r="J156" s="41" t="n">
        <v>582.245</v>
      </c>
      <c r="K156" s="42">
        <f>IF(AND(B156="SELL",E156&gt;0,J156&lt;&gt;""),J156/E156,0)</f>
        <v/>
      </c>
      <c r="L156" s="42" t="n">
        <v>0.5659999999999999</v>
      </c>
      <c r="M156" s="40">
        <f>IF(AND(B156="SELL",L156&gt;0),D156*L156,0)</f>
        <v/>
      </c>
      <c r="N156" s="36" t="n"/>
      <c r="O156" s="43">
        <f>IF(AND(B156="SELL",G156&lt;&gt;0),Q156/ABS(G156),0)</f>
        <v/>
      </c>
      <c r="P156" s="43">
        <f>IF(AND(B156="SELL",D156&gt;0),R156/D156,0)</f>
        <v/>
      </c>
      <c r="Q156" s="44">
        <f>IF(AND(B156="SELL",D156&gt;0,E156&gt;0),(D156/E156)+G156,0)</f>
        <v/>
      </c>
      <c r="R156" s="45">
        <f>IF(B156="SELL",Q156*F156,0)</f>
        <v/>
      </c>
      <c r="S156" s="24">
        <f>S155+R156</f>
        <v/>
      </c>
    </row>
    <row r="157" ht="15.75" customHeight="1" s="94">
      <c r="A157" s="46" t="n">
        <v>156</v>
      </c>
      <c r="B157" s="47" t="inlineStr">
        <is>
          <t>SELL</t>
        </is>
      </c>
      <c r="C157" s="48" t="n">
        <v>46022</v>
      </c>
      <c r="D157" s="49" t="n">
        <v>50000</v>
      </c>
      <c r="E157" s="50" t="n">
        <v>912</v>
      </c>
      <c r="F157" s="50" t="n">
        <v>910.65</v>
      </c>
      <c r="G157" s="51" t="n">
        <v>-51.39</v>
      </c>
      <c r="H157" s="51" t="n"/>
      <c r="I157" s="30" t="n">
        <v>1344.64</v>
      </c>
      <c r="J157" s="51" t="n">
        <v>561.312</v>
      </c>
      <c r="K157" s="52">
        <f>IF(AND(B157="SELL",E157&gt;0,J157&lt;&gt;""),J157/E157,0)</f>
        <v/>
      </c>
      <c r="L157" s="52" t="n">
        <v>0.577</v>
      </c>
      <c r="M157" s="50">
        <f>IF(AND(B157="SELL",L157&gt;0),D157*L157,0)</f>
        <v/>
      </c>
      <c r="N157" s="46" t="n"/>
      <c r="O157" s="53">
        <f>IF(AND(B157="SELL",G157&lt;&gt;0),Q157/ABS(G157),0)</f>
        <v/>
      </c>
      <c r="P157" s="53">
        <f>IF(AND(B157="SELL",D157&gt;0),R157/D157,0)</f>
        <v/>
      </c>
      <c r="Q157" s="54">
        <f>IF(AND(B157="SELL",D157&gt;0,E157&gt;0),(D157/E157)+G157,0)</f>
        <v/>
      </c>
      <c r="R157" s="55">
        <f>IF(B157="SELL",Q157*F157,0)</f>
        <v/>
      </c>
      <c r="S157" s="35">
        <f>S156+R157</f>
        <v/>
      </c>
    </row>
    <row r="158" ht="15.75" customHeight="1" s="94">
      <c r="A158" s="36" t="n">
        <v>157</v>
      </c>
      <c r="B158" s="37" t="inlineStr">
        <is>
          <t>SELL</t>
        </is>
      </c>
      <c r="C158" s="38" t="n">
        <v>46022</v>
      </c>
      <c r="D158" s="39" t="n">
        <v>70000</v>
      </c>
      <c r="E158" s="40" t="n">
        <v>912</v>
      </c>
      <c r="F158" s="40" t="n">
        <v>910.65</v>
      </c>
      <c r="G158" s="41" t="n">
        <v>-72.51000000000001</v>
      </c>
      <c r="H158" s="41" t="n"/>
      <c r="I158" s="19" t="n">
        <v>1272.13</v>
      </c>
      <c r="J158" s="41" t="n">
        <v>557.003</v>
      </c>
      <c r="K158" s="42">
        <f>IF(AND(B158="SELL",E158&gt;0,J158&lt;&gt;""),J158/E158,0)</f>
        <v/>
      </c>
      <c r="L158" s="42" t="n">
        <v>0.577</v>
      </c>
      <c r="M158" s="40">
        <f>IF(AND(B158="SELL",L158&gt;0),D158*L158,0)</f>
        <v/>
      </c>
      <c r="N158" s="36" t="n"/>
      <c r="O158" s="43">
        <f>IF(AND(B158="SELL",G158&lt;&gt;0),Q158/ABS(G158),0)</f>
        <v/>
      </c>
      <c r="P158" s="43">
        <f>IF(AND(B158="SELL",D158&gt;0),R158/D158,0)</f>
        <v/>
      </c>
      <c r="Q158" s="44">
        <f>IF(AND(B158="SELL",D158&gt;0,E158&gt;0),(D158/E158)+G158,0)</f>
        <v/>
      </c>
      <c r="R158" s="45">
        <f>IF(B158="SELL",Q158*F158,0)</f>
        <v/>
      </c>
      <c r="S158" s="24">
        <f>S157+R158</f>
        <v/>
      </c>
    </row>
    <row r="159" ht="15.75" customHeight="1" s="94">
      <c r="A159" s="46" t="n">
        <v>158</v>
      </c>
      <c r="B159" s="47" t="inlineStr">
        <is>
          <t>SELL</t>
        </is>
      </c>
      <c r="C159" s="48" t="n">
        <v>46022</v>
      </c>
      <c r="D159" s="49" t="n">
        <v>9000</v>
      </c>
      <c r="E159" s="50" t="n">
        <v>912</v>
      </c>
      <c r="F159" s="50" t="n">
        <v>910.65</v>
      </c>
      <c r="G159" s="51" t="n">
        <v>-9.539999999999999</v>
      </c>
      <c r="H159" s="51" t="n"/>
      <c r="I159" s="30" t="n">
        <v>1262.59</v>
      </c>
      <c r="J159" s="51" t="n">
        <v>544.3</v>
      </c>
      <c r="K159" s="52">
        <f>IF(AND(B159="SELL",E159&gt;0,J159&lt;&gt;""),J159/E159,0)</f>
        <v/>
      </c>
      <c r="L159" s="52" t="n">
        <v>0.577</v>
      </c>
      <c r="M159" s="50">
        <f>IF(AND(B159="SELL",L159&gt;0),D159*L159,0)</f>
        <v/>
      </c>
      <c r="N159" s="46" t="n"/>
      <c r="O159" s="53">
        <f>IF(AND(B159="SELL",G159&lt;&gt;0),Q159/ABS(G159),0)</f>
        <v/>
      </c>
      <c r="P159" s="53">
        <f>IF(AND(B159="SELL",D159&gt;0),R159/D159,0)</f>
        <v/>
      </c>
      <c r="Q159" s="54">
        <f>IF(AND(B159="SELL",D159&gt;0,E159&gt;0),(D159/E159)+G159,0)</f>
        <v/>
      </c>
      <c r="R159" s="55">
        <f>IF(B159="SELL",Q159*F159,0)</f>
        <v/>
      </c>
      <c r="S159" s="35">
        <f>S158+R159</f>
        <v/>
      </c>
    </row>
    <row r="160" ht="15.75" customHeight="1" s="94">
      <c r="A160" s="36" t="n">
        <v>159</v>
      </c>
      <c r="B160" s="37" t="inlineStr">
        <is>
          <t>SELL</t>
        </is>
      </c>
      <c r="C160" s="38" t="n">
        <v>46022</v>
      </c>
      <c r="D160" s="39" t="n">
        <v>60000</v>
      </c>
      <c r="E160" s="40" t="n">
        <v>912</v>
      </c>
      <c r="F160" s="40" t="n">
        <v>910.65</v>
      </c>
      <c r="G160" s="41" t="n">
        <v>-61.98</v>
      </c>
      <c r="H160" s="41" t="n"/>
      <c r="I160" s="19" t="n">
        <v>1200.61</v>
      </c>
      <c r="J160" s="41" t="n">
        <v>558.502</v>
      </c>
      <c r="K160" s="42">
        <f>IF(AND(B160="SELL",E160&gt;0,J160&lt;&gt;""),J160/E160,0)</f>
        <v/>
      </c>
      <c r="L160" s="42" t="n">
        <v>0.577</v>
      </c>
      <c r="M160" s="40">
        <f>IF(AND(B160="SELL",L160&gt;0),D160*L160,0)</f>
        <v/>
      </c>
      <c r="N160" s="36" t="n"/>
      <c r="O160" s="43">
        <f>IF(AND(B160="SELL",G160&lt;&gt;0),Q160/ABS(G160),0)</f>
        <v/>
      </c>
      <c r="P160" s="43">
        <f>IF(AND(B160="SELL",D160&gt;0),R160/D160,0)</f>
        <v/>
      </c>
      <c r="Q160" s="44">
        <f>IF(AND(B160="SELL",D160&gt;0,E160&gt;0),(D160/E160)+G160,0)</f>
        <v/>
      </c>
      <c r="R160" s="45">
        <f>IF(B160="SELL",Q160*F160,0)</f>
        <v/>
      </c>
      <c r="S160" s="24">
        <f>S159+R160</f>
        <v/>
      </c>
    </row>
    <row r="161" ht="15.75" customHeight="1" s="94">
      <c r="A161" s="46" t="n">
        <v>160</v>
      </c>
      <c r="B161" s="47" t="inlineStr">
        <is>
          <t>SELL</t>
        </is>
      </c>
      <c r="C161" s="48" t="n">
        <v>46022</v>
      </c>
      <c r="D161" s="49" t="n">
        <v>35000</v>
      </c>
      <c r="E161" s="50" t="n">
        <v>912</v>
      </c>
      <c r="F161" s="50" t="n">
        <v>910.65</v>
      </c>
      <c r="G161" s="51" t="n">
        <v>-36.98</v>
      </c>
      <c r="H161" s="51" t="n"/>
      <c r="I161" s="30" t="n">
        <v>1163.63</v>
      </c>
      <c r="J161" s="51" t="n">
        <v>546</v>
      </c>
      <c r="K161" s="52">
        <f>IF(AND(B161="SELL",E161&gt;0,J161&lt;&gt;""),J161/E161,0)</f>
        <v/>
      </c>
      <c r="L161" s="52" t="n">
        <v>0.577</v>
      </c>
      <c r="M161" s="50">
        <f>IF(AND(B161="SELL",L161&gt;0),D161*L161,0)</f>
        <v/>
      </c>
      <c r="N161" s="46" t="n"/>
      <c r="O161" s="53">
        <f>IF(AND(B161="SELL",G161&lt;&gt;0),Q161/ABS(G161),0)</f>
        <v/>
      </c>
      <c r="P161" s="53">
        <f>IF(AND(B161="SELL",D161&gt;0),R161/D161,0)</f>
        <v/>
      </c>
      <c r="Q161" s="54">
        <f>IF(AND(B161="SELL",D161&gt;0,E161&gt;0),(D161/E161)+G161,0)</f>
        <v/>
      </c>
      <c r="R161" s="55">
        <f>IF(B161="SELL",Q161*F161,0)</f>
        <v/>
      </c>
      <c r="S161" s="35">
        <f>S160+R161</f>
        <v/>
      </c>
    </row>
    <row r="163" ht="21.75" customHeight="1" s="94">
      <c r="A163" s="95" t="inlineStr">
        <is>
          <t>TOTALES — Diciembre 2025</t>
        </is>
      </c>
      <c r="D163" s="56">
        <f>SUMIF(B2:B161,"SELL",D2:D161)</f>
        <v/>
      </c>
      <c r="G163" s="57">
        <f>COUNTIF(B2:B161,"SELL")</f>
        <v/>
      </c>
      <c r="I163" s="58">
        <f>I161</f>
        <v/>
      </c>
      <c r="Q163" s="58">
        <f>SUM(Q2:Q161)</f>
        <v/>
      </c>
      <c r="R163" s="59">
        <f>SUMIF(B2:B161,"SELL",R2:R161)</f>
        <v/>
      </c>
      <c r="S163" s="59">
        <f>S161</f>
        <v/>
      </c>
    </row>
  </sheetData>
  <mergeCells count="1">
    <mergeCell ref="A163:C163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5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25"/>
  <cols>
    <col width="5" customWidth="1" style="94" min="1" max="1"/>
    <col width="8" customWidth="1" style="94" min="2" max="2"/>
    <col width="11" customWidth="1" style="94" min="3" max="3"/>
    <col width="13" customWidth="1" style="94" min="4" max="6"/>
    <col width="10" customWidth="1" style="94" min="7" max="8"/>
    <col width="13" customWidth="1" style="94" min="9" max="10"/>
    <col width="11" customWidth="1" style="94" min="11" max="12"/>
    <col width="13" customWidth="1" style="94" min="13" max="13"/>
    <col width="20" customWidth="1" style="94" min="14" max="14"/>
    <col width="10" customWidth="1" style="94" min="15" max="16"/>
    <col width="13" customWidth="1" style="94" min="17" max="18"/>
    <col width="15" customWidth="1" style="94" min="19" max="19"/>
  </cols>
  <sheetData>
    <row r="1" ht="21.75" customHeight="1" s="94">
      <c r="A1" s="2" t="inlineStr">
        <is>
          <t>N°</t>
        </is>
      </c>
      <c r="B1" s="2" t="inlineStr">
        <is>
          <t>Tipo</t>
        </is>
      </c>
      <c r="C1" s="2" t="inlineStr">
        <is>
          <t>Fecha</t>
        </is>
      </c>
      <c r="D1" s="2" t="inlineStr">
        <is>
          <t>Monto CLP</t>
        </is>
      </c>
      <c r="E1" s="2" t="inlineStr">
        <is>
          <t>USDT/CLP Compra</t>
        </is>
      </c>
      <c r="F1" s="2" t="inlineStr">
        <is>
          <t>USDT/CLP Venta</t>
        </is>
      </c>
      <c r="G1" s="2" t="inlineStr">
        <is>
          <t>USDT Mov</t>
        </is>
      </c>
      <c r="H1" s="2" t="inlineStr">
        <is>
          <t>Tax Binance</t>
        </is>
      </c>
      <c r="I1" s="2" t="inlineStr">
        <is>
          <t>Capital USDT</t>
        </is>
      </c>
      <c r="J1" s="2" t="inlineStr">
        <is>
          <t>Tasa Destino</t>
        </is>
      </c>
      <c r="K1" s="2" t="inlineStr">
        <is>
          <t>Tasa Real</t>
        </is>
      </c>
      <c r="L1" s="2" t="inlineStr">
        <is>
          <t>Tasa IREMI</t>
        </is>
      </c>
      <c r="M1" s="2" t="inlineStr">
        <is>
          <t>Valor Destino</t>
        </is>
      </c>
      <c r="N1" s="2" t="inlineStr">
        <is>
          <t>Comentario</t>
        </is>
      </c>
      <c r="O1" s="2" t="inlineStr">
        <is>
          <t>% G USDT</t>
        </is>
      </c>
      <c r="P1" s="2" t="inlineStr">
        <is>
          <t>% G CLP</t>
        </is>
      </c>
      <c r="Q1" s="2" t="inlineStr">
        <is>
          <t>Ganancia USDT</t>
        </is>
      </c>
      <c r="R1" s="2" t="inlineStr">
        <is>
          <t>Ganancia CLP</t>
        </is>
      </c>
      <c r="S1" s="2" t="inlineStr">
        <is>
          <t>Acumulado SELL</t>
        </is>
      </c>
    </row>
    <row r="2" ht="15.75" customHeight="1" s="94">
      <c r="A2" s="36" t="n">
        <v>1</v>
      </c>
      <c r="B2" s="37" t="inlineStr">
        <is>
          <t>SELL</t>
        </is>
      </c>
      <c r="C2" s="38" t="n">
        <v>46022</v>
      </c>
      <c r="D2" s="39" t="n">
        <v>35000</v>
      </c>
      <c r="E2" s="40" t="n">
        <v>912</v>
      </c>
      <c r="F2" s="40" t="n">
        <v>912</v>
      </c>
      <c r="G2" s="41" t="n">
        <v>-36.98</v>
      </c>
      <c r="H2" s="41" t="n"/>
      <c r="I2" s="19" t="n">
        <v>1163.63</v>
      </c>
      <c r="J2" s="41" t="n">
        <v>546</v>
      </c>
      <c r="K2" s="42">
        <f>IF(AND(B2="SELL",E2&gt;0,J2&lt;&gt;""),J2/E2,0)</f>
        <v/>
      </c>
      <c r="L2" s="42" t="n">
        <v>0.577</v>
      </c>
      <c r="M2" s="40">
        <f>IF(AND(B2="SELL",L2&gt;0),D2*L2,0)</f>
        <v/>
      </c>
      <c r="N2" s="36" t="n"/>
      <c r="O2" s="43">
        <f>IF(AND(B2="SELL",G2&lt;&gt;0),Q2/ABS(G2),0)</f>
        <v/>
      </c>
      <c r="P2" s="43">
        <f>IF(AND(B2="SELL",D2&gt;0),R2/D2,0)</f>
        <v/>
      </c>
      <c r="Q2" s="44">
        <f>IF(AND(B2="SELL",D2&gt;0,E2&gt;0),(D2/E2)+G2,0)</f>
        <v/>
      </c>
      <c r="R2" s="45">
        <f>IF(B2="SELL",Q2*F2,0)</f>
        <v/>
      </c>
      <c r="S2" s="24">
        <f>'Diciembre 2025'!S161+R2</f>
        <v/>
      </c>
    </row>
    <row r="3" ht="15.75" customHeight="1" s="94">
      <c r="A3" s="46" t="n">
        <v>2</v>
      </c>
      <c r="B3" s="47" t="inlineStr">
        <is>
          <t>SELL</t>
        </is>
      </c>
      <c r="C3" s="48" t="n">
        <v>46022</v>
      </c>
      <c r="D3" s="49" t="n">
        <v>110000</v>
      </c>
      <c r="E3" s="50" t="n">
        <v>912</v>
      </c>
      <c r="F3" s="50" t="n">
        <v>912</v>
      </c>
      <c r="G3" s="51" t="n">
        <v>-112.06</v>
      </c>
      <c r="H3" s="51" t="n"/>
      <c r="I3" s="30" t="n">
        <v>1051.57</v>
      </c>
      <c r="J3" s="51" t="n">
        <v>566.35</v>
      </c>
      <c r="K3" s="52">
        <f>IF(AND(B3="SELL",E3&gt;0,J3&lt;&gt;""),J3/E3,0)</f>
        <v/>
      </c>
      <c r="L3" s="52" t="n">
        <v>0.577</v>
      </c>
      <c r="M3" s="50">
        <f>IF(AND(B3="SELL",L3&gt;0),D3*L3,0)</f>
        <v/>
      </c>
      <c r="N3" s="46" t="n"/>
      <c r="O3" s="53">
        <f>IF(AND(B3="SELL",G3&lt;&gt;0),Q3/ABS(G3),0)</f>
        <v/>
      </c>
      <c r="P3" s="53">
        <f>IF(AND(B3="SELL",D3&gt;0),R3/D3,0)</f>
        <v/>
      </c>
      <c r="Q3" s="54">
        <f>IF(AND(B3="SELL",D3&gt;0,E3&gt;0),(D3/E3)+G3,0)</f>
        <v/>
      </c>
      <c r="R3" s="55">
        <f>IF(B3="SELL",Q3*F3,0)</f>
        <v/>
      </c>
      <c r="S3" s="35">
        <f>S2+R3</f>
        <v/>
      </c>
    </row>
    <row r="4" ht="15.75" customHeight="1" s="94">
      <c r="A4" s="36" t="n">
        <v>3</v>
      </c>
      <c r="B4" s="37" t="inlineStr">
        <is>
          <t>SELL</t>
        </is>
      </c>
      <c r="C4" s="38" t="n">
        <v>46022</v>
      </c>
      <c r="D4" s="39" t="n">
        <v>20000</v>
      </c>
      <c r="E4" s="40" t="n">
        <v>912</v>
      </c>
      <c r="F4" s="40" t="n">
        <v>912</v>
      </c>
      <c r="G4" s="41" t="n">
        <v>-20.75</v>
      </c>
      <c r="H4" s="41" t="n"/>
      <c r="I4" s="19" t="n">
        <v>1030.82</v>
      </c>
      <c r="J4" s="41" t="n">
        <v>556.075</v>
      </c>
      <c r="K4" s="42">
        <f>IF(AND(B4="SELL",E4&gt;0,J4&lt;&gt;""),J4/E4,0)</f>
        <v/>
      </c>
      <c r="L4" s="42" t="n">
        <v>0.577</v>
      </c>
      <c r="M4" s="40">
        <f>IF(AND(B4="SELL",L4&gt;0),D4*L4,0)</f>
        <v/>
      </c>
      <c r="N4" s="36" t="n"/>
      <c r="O4" s="43">
        <f>IF(AND(B4="SELL",G4&lt;&gt;0),Q4/ABS(G4),0)</f>
        <v/>
      </c>
      <c r="P4" s="43">
        <f>IF(AND(B4="SELL",D4&gt;0),R4/D4,0)</f>
        <v/>
      </c>
      <c r="Q4" s="44">
        <f>IF(AND(B4="SELL",D4&gt;0,E4&gt;0),(D4/E4)+G4,0)</f>
        <v/>
      </c>
      <c r="R4" s="45">
        <f>IF(B4="SELL",Q4*F4,0)</f>
        <v/>
      </c>
      <c r="S4" s="24">
        <f>S3+R4</f>
        <v/>
      </c>
    </row>
    <row r="5" ht="15.75" customHeight="1" s="94">
      <c r="A5" s="46" t="n">
        <v>4</v>
      </c>
      <c r="B5" s="47" t="inlineStr">
        <is>
          <t>SELL</t>
        </is>
      </c>
      <c r="C5" s="48" t="n">
        <v>46022</v>
      </c>
      <c r="D5" s="49" t="n">
        <v>60000</v>
      </c>
      <c r="E5" s="50" t="n">
        <v>912</v>
      </c>
      <c r="F5" s="50" t="n">
        <v>912</v>
      </c>
      <c r="G5" s="51" t="n">
        <v>-61.11</v>
      </c>
      <c r="H5" s="51" t="n"/>
      <c r="I5" s="30" t="n">
        <v>969.71</v>
      </c>
      <c r="J5" s="51" t="n">
        <v>567.2</v>
      </c>
      <c r="K5" s="52">
        <f>IF(AND(B5="SELL",E5&gt;0,J5&lt;&gt;""),J5/E5,0)</f>
        <v/>
      </c>
      <c r="L5" s="52" t="n">
        <v>0.577</v>
      </c>
      <c r="M5" s="50">
        <f>IF(AND(B5="SELL",L5&gt;0),D5*L5,0)</f>
        <v/>
      </c>
      <c r="N5" s="46" t="n"/>
      <c r="O5" s="53">
        <f>IF(AND(B5="SELL",G5&lt;&gt;0),Q5/ABS(G5),0)</f>
        <v/>
      </c>
      <c r="P5" s="53">
        <f>IF(AND(B5="SELL",D5&gt;0),R5/D5,0)</f>
        <v/>
      </c>
      <c r="Q5" s="54">
        <f>IF(AND(B5="SELL",D5&gt;0,E5&gt;0),(D5/E5)+G5,0)</f>
        <v/>
      </c>
      <c r="R5" s="55">
        <f>IF(B5="SELL",Q5*F5,0)</f>
        <v/>
      </c>
      <c r="S5" s="35">
        <f>S4+R5</f>
        <v/>
      </c>
    </row>
    <row r="6" ht="15.75" customHeight="1" s="94">
      <c r="A6" s="36" t="n">
        <v>5</v>
      </c>
      <c r="B6" s="37" t="inlineStr">
        <is>
          <t>SELL</t>
        </is>
      </c>
      <c r="C6" s="38" t="n">
        <v>46024</v>
      </c>
      <c r="D6" s="39" t="n">
        <v>50000</v>
      </c>
      <c r="E6" s="40" t="n">
        <v>912</v>
      </c>
      <c r="F6" s="40" t="n">
        <v>912</v>
      </c>
      <c r="G6" s="41" t="n">
        <v>-52.12</v>
      </c>
      <c r="H6" s="41" t="n"/>
      <c r="I6" s="19" t="n">
        <v>917.59</v>
      </c>
      <c r="J6" s="41" t="n">
        <v>558.3</v>
      </c>
      <c r="K6" s="42">
        <f>IF(AND(B6="SELL",E6&gt;0,J6&lt;&gt;""),J6/E6,0)</f>
        <v/>
      </c>
      <c r="L6" s="42" t="n">
        <v>0.582</v>
      </c>
      <c r="M6" s="40">
        <f>IF(AND(B6="SELL",L6&gt;0),D6*L6,0)</f>
        <v/>
      </c>
      <c r="N6" s="36" t="n"/>
      <c r="O6" s="43">
        <f>IF(AND(B6="SELL",G6&lt;&gt;0),Q6/ABS(G6),0)</f>
        <v/>
      </c>
      <c r="P6" s="43">
        <f>IF(AND(B6="SELL",D6&gt;0),R6/D6,0)</f>
        <v/>
      </c>
      <c r="Q6" s="44">
        <f>IF(AND(B6="SELL",D6&gt;0,E6&gt;0),(D6/E6)+G6,0)</f>
        <v/>
      </c>
      <c r="R6" s="45">
        <f>IF(B6="SELL",Q6*F6,0)</f>
        <v/>
      </c>
      <c r="S6" s="24">
        <f>S5+R6</f>
        <v/>
      </c>
    </row>
    <row r="7" ht="15.75" customHeight="1" s="94">
      <c r="A7" s="46" t="n">
        <v>6</v>
      </c>
      <c r="B7" s="47" t="inlineStr">
        <is>
          <t>SELL</t>
        </is>
      </c>
      <c r="C7" s="48" t="n">
        <v>46024</v>
      </c>
      <c r="D7" s="49" t="n">
        <v>100000</v>
      </c>
      <c r="E7" s="50" t="n">
        <v>912</v>
      </c>
      <c r="F7" s="50" t="n">
        <v>912</v>
      </c>
      <c r="G7" s="51" t="n">
        <v>-102.94</v>
      </c>
      <c r="H7" s="51" t="n"/>
      <c r="I7" s="30" t="n">
        <v>814.65</v>
      </c>
      <c r="J7" s="51" t="n">
        <v>565.365</v>
      </c>
      <c r="K7" s="52">
        <f>IF(AND(B7="SELL",E7&gt;0,J7&lt;&gt;""),J7/E7,0)</f>
        <v/>
      </c>
      <c r="L7" s="52" t="n">
        <v>0.582</v>
      </c>
      <c r="M7" s="50">
        <f>IF(AND(B7="SELL",L7&gt;0),D7*L7,0)</f>
        <v/>
      </c>
      <c r="N7" s="46" t="n"/>
      <c r="O7" s="53">
        <f>IF(AND(B7="SELL",G7&lt;&gt;0),Q7/ABS(G7),0)</f>
        <v/>
      </c>
      <c r="P7" s="53">
        <f>IF(AND(B7="SELL",D7&gt;0),R7/D7,0)</f>
        <v/>
      </c>
      <c r="Q7" s="54">
        <f>IF(AND(B7="SELL",D7&gt;0,E7&gt;0),(D7/E7)+G7,0)</f>
        <v/>
      </c>
      <c r="R7" s="55">
        <f>IF(B7="SELL",Q7*F7,0)</f>
        <v/>
      </c>
      <c r="S7" s="35">
        <f>S6+R7</f>
        <v/>
      </c>
    </row>
    <row r="8" ht="15.75" customHeight="1" s="94">
      <c r="A8" s="36" t="n">
        <v>7</v>
      </c>
      <c r="B8" s="37" t="inlineStr">
        <is>
          <t>SELL</t>
        </is>
      </c>
      <c r="C8" s="38" t="n">
        <v>46024</v>
      </c>
      <c r="D8" s="39" t="n">
        <v>20000</v>
      </c>
      <c r="E8" s="40" t="n">
        <v>912</v>
      </c>
      <c r="F8" s="40" t="n">
        <v>912</v>
      </c>
      <c r="G8" s="41" t="n">
        <v>-20.96</v>
      </c>
      <c r="H8" s="41" t="n"/>
      <c r="I8" s="19" t="n">
        <v>793.6900000000001</v>
      </c>
      <c r="J8" s="41" t="n">
        <v>555.25</v>
      </c>
      <c r="K8" s="42">
        <f>IF(AND(B8="SELL",E8&gt;0,J8&lt;&gt;""),J8/E8,0)</f>
        <v/>
      </c>
      <c r="L8" s="42" t="n">
        <v>0.582</v>
      </c>
      <c r="M8" s="40">
        <f>IF(AND(B8="SELL",L8&gt;0),D8*L8,0)</f>
        <v/>
      </c>
      <c r="N8" s="36" t="n"/>
      <c r="O8" s="43">
        <f>IF(AND(B8="SELL",G8&lt;&gt;0),Q8/ABS(G8),0)</f>
        <v/>
      </c>
      <c r="P8" s="43">
        <f>IF(AND(B8="SELL",D8&gt;0),R8/D8,0)</f>
        <v/>
      </c>
      <c r="Q8" s="44">
        <f>IF(AND(B8="SELL",D8&gt;0,E8&gt;0),(D8/E8)+G8,0)</f>
        <v/>
      </c>
      <c r="R8" s="45">
        <f>IF(B8="SELL",Q8*F8,0)</f>
        <v/>
      </c>
      <c r="S8" s="24">
        <f>S7+R8</f>
        <v/>
      </c>
    </row>
    <row r="9" ht="15.75" customHeight="1" s="94">
      <c r="A9" s="46" t="n">
        <v>8</v>
      </c>
      <c r="B9" s="47" t="inlineStr">
        <is>
          <t>SELL</t>
        </is>
      </c>
      <c r="C9" s="48" t="n">
        <v>46024</v>
      </c>
      <c r="D9" s="49" t="n">
        <v>65000</v>
      </c>
      <c r="E9" s="50" t="n">
        <v>912</v>
      </c>
      <c r="F9" s="50" t="n">
        <v>912</v>
      </c>
      <c r="G9" s="51" t="n">
        <v>-64.77</v>
      </c>
      <c r="H9" s="51" t="n"/>
      <c r="I9" s="30" t="n">
        <v>728.92</v>
      </c>
      <c r="J9" s="51" t="n">
        <v>584.05</v>
      </c>
      <c r="K9" s="52">
        <f>IF(AND(B9="SELL",E9&gt;0,J9&lt;&gt;""),J9/E9,0)</f>
        <v/>
      </c>
      <c r="L9" s="52" t="n">
        <v>0.582</v>
      </c>
      <c r="M9" s="50">
        <f>IF(AND(B9="SELL",L9&gt;0),D9*L9,0)</f>
        <v/>
      </c>
      <c r="N9" s="46" t="n"/>
      <c r="O9" s="53">
        <f>IF(AND(B9="SELL",G9&lt;&gt;0),Q9/ABS(G9),0)</f>
        <v/>
      </c>
      <c r="P9" s="53">
        <f>IF(AND(B9="SELL",D9&gt;0),R9/D9,0)</f>
        <v/>
      </c>
      <c r="Q9" s="54">
        <f>IF(AND(B9="SELL",D9&gt;0,E9&gt;0),(D9/E9)+G9,0)</f>
        <v/>
      </c>
      <c r="R9" s="55">
        <f>IF(B9="SELL",Q9*F9,0)</f>
        <v/>
      </c>
      <c r="S9" s="35">
        <f>S8+R9</f>
        <v/>
      </c>
    </row>
    <row r="10" ht="15.75" customHeight="1" s="94">
      <c r="A10" s="36" t="n">
        <v>9</v>
      </c>
      <c r="B10" s="37" t="inlineStr">
        <is>
          <t>SELL</t>
        </is>
      </c>
      <c r="C10" s="38" t="n">
        <v>46024</v>
      </c>
      <c r="D10" s="39" t="n">
        <v>20000</v>
      </c>
      <c r="E10" s="40" t="n">
        <v>912</v>
      </c>
      <c r="F10" s="40" t="n">
        <v>912</v>
      </c>
      <c r="G10" s="41" t="n">
        <v>-19.62</v>
      </c>
      <c r="H10" s="41" t="n"/>
      <c r="I10" s="19" t="n">
        <v>709.3</v>
      </c>
      <c r="J10" s="41" t="n">
        <v>593.001</v>
      </c>
      <c r="K10" s="42">
        <f>IF(AND(B10="SELL",E10&gt;0,J10&lt;&gt;""),J10/E10,0)</f>
        <v/>
      </c>
      <c r="L10" s="42" t="n">
        <v>0.582</v>
      </c>
      <c r="M10" s="40">
        <f>IF(AND(B10="SELL",L10&gt;0),D10*L10,0)</f>
        <v/>
      </c>
      <c r="N10" s="36" t="n"/>
      <c r="O10" s="43">
        <f>IF(AND(B10="SELL",G10&lt;&gt;0),Q10/ABS(G10),0)</f>
        <v/>
      </c>
      <c r="P10" s="43">
        <f>IF(AND(B10="SELL",D10&gt;0),R10/D10,0)</f>
        <v/>
      </c>
      <c r="Q10" s="44">
        <f>IF(AND(B10="SELL",D10&gt;0,E10&gt;0),(D10/E10)+G10,0)</f>
        <v/>
      </c>
      <c r="R10" s="45">
        <f>IF(B10="SELL",Q10*F10,0)</f>
        <v/>
      </c>
      <c r="S10" s="24">
        <f>S9+R10</f>
        <v/>
      </c>
    </row>
    <row r="11" ht="15.75" customHeight="1" s="94">
      <c r="A11" s="46" t="n">
        <v>10</v>
      </c>
      <c r="B11" s="47" t="inlineStr">
        <is>
          <t>SELL</t>
        </is>
      </c>
      <c r="C11" s="48" t="n">
        <v>46025</v>
      </c>
      <c r="D11" s="49" t="n">
        <v>250000</v>
      </c>
      <c r="E11" s="50" t="n">
        <v>912</v>
      </c>
      <c r="F11" s="50" t="n">
        <v>912</v>
      </c>
      <c r="G11" s="51" t="n">
        <v>-224.27</v>
      </c>
      <c r="H11" s="51" t="n"/>
      <c r="I11" s="30" t="n">
        <v>485.03</v>
      </c>
      <c r="J11" s="51" t="n">
        <v>598.6</v>
      </c>
      <c r="K11" s="52">
        <f>IF(AND(B11="SELL",E11&gt;0,J11&lt;&gt;""),J11/E11,0)</f>
        <v/>
      </c>
      <c r="L11" s="52" t="n">
        <v>0.537</v>
      </c>
      <c r="M11" s="50">
        <f>IF(AND(B11="SELL",L11&gt;0),D11*L11,0)</f>
        <v/>
      </c>
      <c r="N11" s="46" t="n"/>
      <c r="O11" s="53">
        <f>IF(AND(B11="SELL",G11&lt;&gt;0),Q11/ABS(G11),0)</f>
        <v/>
      </c>
      <c r="P11" s="53">
        <f>IF(AND(B11="SELL",D11&gt;0),R11/D11,0)</f>
        <v/>
      </c>
      <c r="Q11" s="54">
        <f>IF(AND(B11="SELL",D11&gt;0,E11&gt;0),(D11/E11)+G11,0)</f>
        <v/>
      </c>
      <c r="R11" s="55">
        <f>IF(B11="SELL",Q11*F11,0)</f>
        <v/>
      </c>
      <c r="S11" s="35">
        <f>S10+R11</f>
        <v/>
      </c>
    </row>
    <row r="12" ht="15.75" customHeight="1" s="94">
      <c r="A12" s="36" t="n">
        <v>11</v>
      </c>
      <c r="B12" s="37" t="inlineStr">
        <is>
          <t>SELL</t>
        </is>
      </c>
      <c r="C12" s="38" t="n">
        <v>46025</v>
      </c>
      <c r="D12" s="39" t="n">
        <v>60000</v>
      </c>
      <c r="E12" s="40" t="n">
        <v>912</v>
      </c>
      <c r="F12" s="40" t="n">
        <v>912</v>
      </c>
      <c r="G12" s="41" t="n">
        <v>-56.42</v>
      </c>
      <c r="H12" s="41" t="n"/>
      <c r="I12" s="19" t="n">
        <v>428.61</v>
      </c>
      <c r="J12" s="41" t="n">
        <v>570</v>
      </c>
      <c r="K12" s="42">
        <f>IF(AND(B12="SELL",E12&gt;0,J12&lt;&gt;""),J12/E12,0)</f>
        <v/>
      </c>
      <c r="L12" s="42" t="n">
        <v>0.536</v>
      </c>
      <c r="M12" s="40">
        <f>IF(AND(B12="SELL",L12&gt;0),D12*L12,0)</f>
        <v/>
      </c>
      <c r="N12" s="36" t="n"/>
      <c r="O12" s="43">
        <f>IF(AND(B12="SELL",G12&lt;&gt;0),Q12/ABS(G12),0)</f>
        <v/>
      </c>
      <c r="P12" s="43">
        <f>IF(AND(B12="SELL",D12&gt;0),R12/D12,0)</f>
        <v/>
      </c>
      <c r="Q12" s="44">
        <f>IF(AND(B12="SELL",D12&gt;0,E12&gt;0),(D12/E12)+G12,0)</f>
        <v/>
      </c>
      <c r="R12" s="45">
        <f>IF(B12="SELL",Q12*F12,0)</f>
        <v/>
      </c>
      <c r="S12" s="24">
        <f>S11+R12</f>
        <v/>
      </c>
    </row>
    <row r="13" ht="15.75" customHeight="1" s="94">
      <c r="A13" s="46" t="n">
        <v>12</v>
      </c>
      <c r="B13" s="47" t="inlineStr">
        <is>
          <t>SELL</t>
        </is>
      </c>
      <c r="C13" s="48" t="n">
        <v>46025</v>
      </c>
      <c r="D13" s="49" t="n">
        <v>50000</v>
      </c>
      <c r="E13" s="50" t="n">
        <v>912</v>
      </c>
      <c r="F13" s="50" t="n">
        <v>912</v>
      </c>
      <c r="G13" s="51" t="n">
        <v>-48.68</v>
      </c>
      <c r="H13" s="51" t="n"/>
      <c r="I13" s="30" t="n">
        <v>379.93</v>
      </c>
      <c r="J13" s="51" t="n">
        <v>550.5</v>
      </c>
      <c r="K13" s="52">
        <f>IF(AND(B13="SELL",E13&gt;0,J13&lt;&gt;""),J13/E13,0)</f>
        <v/>
      </c>
      <c r="L13" s="52" t="n">
        <v>0.536</v>
      </c>
      <c r="M13" s="50">
        <f>IF(AND(B13="SELL",L13&gt;0),D13*L13,0)</f>
        <v/>
      </c>
      <c r="N13" s="46" t="n"/>
      <c r="O13" s="53">
        <f>IF(AND(B13="SELL",G13&lt;&gt;0),Q13/ABS(G13),0)</f>
        <v/>
      </c>
      <c r="P13" s="53">
        <f>IF(AND(B13="SELL",D13&gt;0),R13/D13,0)</f>
        <v/>
      </c>
      <c r="Q13" s="54">
        <f>IF(AND(B13="SELL",D13&gt;0,E13&gt;0),(D13/E13)+G13,0)</f>
        <v/>
      </c>
      <c r="R13" s="55">
        <f>IF(B13="SELL",Q13*F13,0)</f>
        <v/>
      </c>
      <c r="S13" s="35">
        <f>S12+R13</f>
        <v/>
      </c>
    </row>
    <row r="14" ht="15.75" customHeight="1" s="94">
      <c r="A14" s="36" t="n">
        <v>13</v>
      </c>
      <c r="B14" s="37" t="inlineStr">
        <is>
          <t>SELL</t>
        </is>
      </c>
      <c r="C14" s="38" t="n">
        <v>46025</v>
      </c>
      <c r="D14" s="39" t="n">
        <v>120000</v>
      </c>
      <c r="E14" s="40" t="n">
        <v>912</v>
      </c>
      <c r="F14" s="40" t="n">
        <v>912</v>
      </c>
      <c r="G14" s="41" t="n">
        <v>-116.03</v>
      </c>
      <c r="H14" s="41" t="n"/>
      <c r="I14" s="19" t="n">
        <v>263.9</v>
      </c>
      <c r="J14" s="41" t="n">
        <v>554.3</v>
      </c>
      <c r="K14" s="42">
        <f>IF(AND(B14="SELL",E14&gt;0,J14&lt;&gt;""),J14/E14,0)</f>
        <v/>
      </c>
      <c r="L14" s="42" t="n">
        <v>0.536</v>
      </c>
      <c r="M14" s="40">
        <f>IF(AND(B14="SELL",L14&gt;0),D14*L14,0)</f>
        <v/>
      </c>
      <c r="N14" s="36" t="n"/>
      <c r="O14" s="43">
        <f>IF(AND(B14="SELL",G14&lt;&gt;0),Q14/ABS(G14),0)</f>
        <v/>
      </c>
      <c r="P14" s="43">
        <f>IF(AND(B14="SELL",D14&gt;0),R14/D14,0)</f>
        <v/>
      </c>
      <c r="Q14" s="44">
        <f>IF(AND(B14="SELL",D14&gt;0,E14&gt;0),(D14/E14)+G14,0)</f>
        <v/>
      </c>
      <c r="R14" s="45">
        <f>IF(B14="SELL",Q14*F14,0)</f>
        <v/>
      </c>
      <c r="S14" s="24">
        <f>S13+R14</f>
        <v/>
      </c>
    </row>
    <row r="15" ht="15.75" customHeight="1" s="94">
      <c r="A15" s="46" t="n">
        <v>14</v>
      </c>
      <c r="B15" s="47" t="inlineStr">
        <is>
          <t>SELL</t>
        </is>
      </c>
      <c r="C15" s="48" t="n">
        <v>46025</v>
      </c>
      <c r="D15" s="49" t="n">
        <v>32000</v>
      </c>
      <c r="E15" s="50" t="n">
        <v>912</v>
      </c>
      <c r="F15" s="50" t="n">
        <v>912</v>
      </c>
      <c r="G15" s="51" t="n">
        <v>-33.88</v>
      </c>
      <c r="H15" s="51" t="n"/>
      <c r="I15" s="30" t="n">
        <v>230.02</v>
      </c>
      <c r="J15" s="51" t="n">
        <v>506.2</v>
      </c>
      <c r="K15" s="52">
        <f>IF(AND(B15="SELL",E15&gt;0,J15&lt;&gt;""),J15/E15,0)</f>
        <v/>
      </c>
      <c r="L15" s="52" t="n">
        <v>0.536</v>
      </c>
      <c r="M15" s="50">
        <f>IF(AND(B15="SELL",L15&gt;0),D15*L15,0)</f>
        <v/>
      </c>
      <c r="N15" s="46" t="n"/>
      <c r="O15" s="53">
        <f>IF(AND(B15="SELL",G15&lt;&gt;0),Q15/ABS(G15),0)</f>
        <v/>
      </c>
      <c r="P15" s="53">
        <f>IF(AND(B15="SELL",D15&gt;0),R15/D15,0)</f>
        <v/>
      </c>
      <c r="Q15" s="54">
        <f>IF(AND(B15="SELL",D15&gt;0,E15&gt;0),(D15/E15)+G15,0)</f>
        <v/>
      </c>
      <c r="R15" s="55">
        <f>IF(B15="SELL",Q15*F15,0)</f>
        <v/>
      </c>
      <c r="S15" s="35">
        <f>S14+R15</f>
        <v/>
      </c>
    </row>
    <row r="16" ht="15.75" customHeight="1" s="94">
      <c r="A16" s="36" t="n">
        <v>15</v>
      </c>
      <c r="B16" s="37" t="inlineStr">
        <is>
          <t>SELL</t>
        </is>
      </c>
      <c r="C16" s="38" t="n">
        <v>46025</v>
      </c>
      <c r="D16" s="39" t="n">
        <v>100000</v>
      </c>
      <c r="E16" s="40" t="n">
        <v>912</v>
      </c>
      <c r="F16" s="40" t="n">
        <v>912</v>
      </c>
      <c r="G16" s="41" t="n">
        <v>-99.81</v>
      </c>
      <c r="H16" s="41" t="n"/>
      <c r="I16" s="19" t="n">
        <v>130.21</v>
      </c>
      <c r="J16" s="41" t="n">
        <v>541</v>
      </c>
      <c r="K16" s="42">
        <f>IF(AND(B16="SELL",E16&gt;0,J16&lt;&gt;""),J16/E16,0)</f>
        <v/>
      </c>
      <c r="L16" s="42" t="n">
        <v>0.54</v>
      </c>
      <c r="M16" s="40">
        <f>IF(AND(B16="SELL",L16&gt;0),D16*L16,0)</f>
        <v/>
      </c>
      <c r="N16" s="36" t="n"/>
      <c r="O16" s="43">
        <f>IF(AND(B16="SELL",G16&lt;&gt;0),Q16/ABS(G16),0)</f>
        <v/>
      </c>
      <c r="P16" s="43">
        <f>IF(AND(B16="SELL",D16&gt;0),R16/D16,0)</f>
        <v/>
      </c>
      <c r="Q16" s="44">
        <f>IF(AND(B16="SELL",D16&gt;0,E16&gt;0),(D16/E16)+G16,0)</f>
        <v/>
      </c>
      <c r="R16" s="45">
        <f>IF(B16="SELL",Q16*F16,0)</f>
        <v/>
      </c>
      <c r="S16" s="24">
        <f>S15+R16</f>
        <v/>
      </c>
    </row>
    <row r="17" ht="15.75" customHeight="1" s="94">
      <c r="A17" s="25" t="n">
        <v>16</v>
      </c>
      <c r="B17" s="26" t="inlineStr">
        <is>
          <t>BUY</t>
        </is>
      </c>
      <c r="C17" s="27" t="n">
        <v>46025</v>
      </c>
      <c r="D17" s="28" t="n">
        <v>2559600</v>
      </c>
      <c r="E17" s="29" t="n">
        <v>912.9400000000001</v>
      </c>
      <c r="F17" s="29" t="n">
        <v>912.9400000000001</v>
      </c>
      <c r="G17" s="30" t="n">
        <v>2803.68</v>
      </c>
      <c r="H17" s="30" t="n"/>
      <c r="I17" s="30" t="n">
        <v>2933.89</v>
      </c>
      <c r="J17" s="30" t="n"/>
      <c r="K17" s="31">
        <f>IF(AND(B17="SELL",E17&gt;0,J17&lt;&gt;""),J17/E17,0)</f>
        <v/>
      </c>
      <c r="L17" s="31" t="n">
        <v>0</v>
      </c>
      <c r="M17" s="29">
        <f>IF(AND(B17="SELL",L17&gt;0),D17*L17,0)</f>
        <v/>
      </c>
      <c r="N17" s="25" t="n"/>
      <c r="O17" s="32">
        <f>IF(AND(B17="SELL",G17&lt;&gt;0),Q17/ABS(G17),0)</f>
        <v/>
      </c>
      <c r="P17" s="32">
        <f>IF(AND(B17="SELL",D17&gt;0),R17/D17,0)</f>
        <v/>
      </c>
      <c r="Q17" s="33">
        <f>IF(AND(B17="SELL",D17&gt;0,E17&gt;0),(D17/E17)+G17,0)</f>
        <v/>
      </c>
      <c r="R17" s="34">
        <f>IF(B17="SELL",Q17*F17,0)</f>
        <v/>
      </c>
      <c r="S17" s="35">
        <f>S16+R17</f>
        <v/>
      </c>
    </row>
    <row r="18" ht="15.75" customHeight="1" s="94">
      <c r="A18" s="36" t="n">
        <v>17</v>
      </c>
      <c r="B18" s="37" t="inlineStr">
        <is>
          <t>SELL</t>
        </is>
      </c>
      <c r="C18" s="38" t="n">
        <v>46025</v>
      </c>
      <c r="D18" s="39" t="n">
        <v>30000</v>
      </c>
      <c r="E18" s="40" t="n">
        <v>912.9400000000001</v>
      </c>
      <c r="F18" s="40" t="n">
        <v>912.9400000000001</v>
      </c>
      <c r="G18" s="41" t="n">
        <v>-30.09</v>
      </c>
      <c r="H18" s="41" t="n"/>
      <c r="I18" s="19" t="n">
        <v>2903.8</v>
      </c>
      <c r="J18" s="41" t="n">
        <v>535</v>
      </c>
      <c r="K18" s="42">
        <f>IF(AND(B18="SELL",E18&gt;0,J18&lt;&gt;""),J18/E18,0)</f>
        <v/>
      </c>
      <c r="L18" s="42" t="n">
        <v>0.536</v>
      </c>
      <c r="M18" s="40">
        <f>IF(AND(B18="SELL",L18&gt;0),D18*L18,0)</f>
        <v/>
      </c>
      <c r="N18" s="36" t="n"/>
      <c r="O18" s="43">
        <f>IF(AND(B18="SELL",G18&lt;&gt;0),Q18/ABS(G18),0)</f>
        <v/>
      </c>
      <c r="P18" s="43">
        <f>IF(AND(B18="SELL",D18&gt;0),R18/D18,0)</f>
        <v/>
      </c>
      <c r="Q18" s="44">
        <f>IF(AND(B18="SELL",D18&gt;0,E18&gt;0),(D18/E18)+G18,0)</f>
        <v/>
      </c>
      <c r="R18" s="45">
        <f>IF(B18="SELL",Q18*F18,0)</f>
        <v/>
      </c>
      <c r="S18" s="24">
        <f>S17+R18</f>
        <v/>
      </c>
    </row>
    <row r="19" ht="15.75" customHeight="1" s="94">
      <c r="A19" s="46" t="n">
        <v>18</v>
      </c>
      <c r="B19" s="47" t="inlineStr">
        <is>
          <t>SELL</t>
        </is>
      </c>
      <c r="C19" s="48" t="n">
        <v>46025</v>
      </c>
      <c r="D19" s="49" t="n">
        <v>200000</v>
      </c>
      <c r="E19" s="50" t="n">
        <v>912.9400000000001</v>
      </c>
      <c r="F19" s="50" t="n">
        <v>912.9400000000001</v>
      </c>
      <c r="G19" s="51" t="n">
        <v>-189.9</v>
      </c>
      <c r="H19" s="51" t="n"/>
      <c r="I19" s="30" t="n">
        <v>2713.9</v>
      </c>
      <c r="J19" s="51" t="n">
        <v>568.702</v>
      </c>
      <c r="K19" s="52">
        <f>IF(AND(B19="SELL",E19&gt;0,J19&lt;&gt;""),J19/E19,0)</f>
        <v/>
      </c>
      <c r="L19" s="52" t="n">
        <v>0.54</v>
      </c>
      <c r="M19" s="50">
        <f>IF(AND(B19="SELL",L19&gt;0),D19*L19,0)</f>
        <v/>
      </c>
      <c r="N19" s="46" t="n"/>
      <c r="O19" s="53">
        <f>IF(AND(B19="SELL",G19&lt;&gt;0),Q19/ABS(G19),0)</f>
        <v/>
      </c>
      <c r="P19" s="53">
        <f>IF(AND(B19="SELL",D19&gt;0),R19/D19,0)</f>
        <v/>
      </c>
      <c r="Q19" s="54">
        <f>IF(AND(B19="SELL",D19&gt;0,E19&gt;0),(D19/E19)+G19,0)</f>
        <v/>
      </c>
      <c r="R19" s="55">
        <f>IF(B19="SELL",Q19*F19,0)</f>
        <v/>
      </c>
      <c r="S19" s="35">
        <f>S18+R19</f>
        <v/>
      </c>
    </row>
    <row r="20" ht="15.75" customHeight="1" s="94">
      <c r="A20" s="36" t="n">
        <v>19</v>
      </c>
      <c r="B20" s="37" t="inlineStr">
        <is>
          <t>SELL</t>
        </is>
      </c>
      <c r="C20" s="38" t="n">
        <v>46025</v>
      </c>
      <c r="D20" s="39" t="n">
        <v>30000</v>
      </c>
      <c r="E20" s="40" t="n">
        <v>912.9400000000001</v>
      </c>
      <c r="F20" s="40" t="n">
        <v>912.9400000000001</v>
      </c>
      <c r="G20" s="41" t="n">
        <v>-29.17</v>
      </c>
      <c r="H20" s="41" t="n"/>
      <c r="I20" s="19" t="n">
        <v>2684.73</v>
      </c>
      <c r="J20" s="41" t="n">
        <v>551.088</v>
      </c>
      <c r="K20" s="42">
        <f>IF(AND(B20="SELL",E20&gt;0,J20&lt;&gt;""),J20/E20,0)</f>
        <v/>
      </c>
      <c r="L20" s="42" t="n">
        <v>0.536</v>
      </c>
      <c r="M20" s="40">
        <f>IF(AND(B20="SELL",L20&gt;0),D20*L20,0)</f>
        <v/>
      </c>
      <c r="N20" s="36" t="n"/>
      <c r="O20" s="43">
        <f>IF(AND(B20="SELL",G20&lt;&gt;0),Q20/ABS(G20),0)</f>
        <v/>
      </c>
      <c r="P20" s="43">
        <f>IF(AND(B20="SELL",D20&gt;0),R20/D20,0)</f>
        <v/>
      </c>
      <c r="Q20" s="44">
        <f>IF(AND(B20="SELL",D20&gt;0,E20&gt;0),(D20/E20)+G20,0)</f>
        <v/>
      </c>
      <c r="R20" s="45">
        <f>IF(B20="SELL",Q20*F20,0)</f>
        <v/>
      </c>
      <c r="S20" s="24">
        <f>S19+R20</f>
        <v/>
      </c>
    </row>
    <row r="21" ht="15.75" customHeight="1" s="94">
      <c r="A21" s="46" t="n">
        <v>20</v>
      </c>
      <c r="B21" s="47" t="inlineStr">
        <is>
          <t>SELL</t>
        </is>
      </c>
      <c r="C21" s="48" t="n">
        <v>46025</v>
      </c>
      <c r="D21" s="49" t="n">
        <v>222000</v>
      </c>
      <c r="E21" s="50" t="n">
        <v>912.9400000000001</v>
      </c>
      <c r="F21" s="50" t="n">
        <v>912.9400000000001</v>
      </c>
      <c r="G21" s="51" t="n">
        <v>-205.37</v>
      </c>
      <c r="H21" s="51" t="n"/>
      <c r="I21" s="30" t="n">
        <v>2479.36</v>
      </c>
      <c r="J21" s="51" t="n">
        <v>583.7</v>
      </c>
      <c r="K21" s="52">
        <f>IF(AND(B21="SELL",E21&gt;0,J21&lt;&gt;""),J21/E21,0)</f>
        <v/>
      </c>
      <c r="L21" s="52" t="n">
        <v>0.54</v>
      </c>
      <c r="M21" s="50">
        <f>IF(AND(B21="SELL",L21&gt;0),D21*L21,0)</f>
        <v/>
      </c>
      <c r="N21" s="46" t="n"/>
      <c r="O21" s="53">
        <f>IF(AND(B21="SELL",G21&lt;&gt;0),Q21/ABS(G21),0)</f>
        <v/>
      </c>
      <c r="P21" s="53">
        <f>IF(AND(B21="SELL",D21&gt;0),R21/D21,0)</f>
        <v/>
      </c>
      <c r="Q21" s="54">
        <f>IF(AND(B21="SELL",D21&gt;0,E21&gt;0),(D21/E21)+G21,0)</f>
        <v/>
      </c>
      <c r="R21" s="55">
        <f>IF(B21="SELL",Q21*F21,0)</f>
        <v/>
      </c>
      <c r="S21" s="35">
        <f>S20+R21</f>
        <v/>
      </c>
    </row>
    <row r="22" ht="15.75" customHeight="1" s="94">
      <c r="A22" s="36" t="n">
        <v>21</v>
      </c>
      <c r="B22" s="37" t="inlineStr">
        <is>
          <t>SELL</t>
        </is>
      </c>
      <c r="C22" s="38" t="n">
        <v>46025</v>
      </c>
      <c r="D22" s="39" t="n">
        <v>30000</v>
      </c>
      <c r="E22" s="40" t="n">
        <v>912.9400000000001</v>
      </c>
      <c r="F22" s="40" t="n">
        <v>912.9400000000001</v>
      </c>
      <c r="G22" s="41" t="n">
        <v>-29.22</v>
      </c>
      <c r="H22" s="41" t="n"/>
      <c r="I22" s="19" t="n">
        <v>2450.14</v>
      </c>
      <c r="J22" s="41" t="n">
        <v>550.155</v>
      </c>
      <c r="K22" s="42">
        <f>IF(AND(B22="SELL",E22&gt;0,J22&lt;&gt;""),J22/E22,0)</f>
        <v/>
      </c>
      <c r="L22" s="42" t="n">
        <v>0.536</v>
      </c>
      <c r="M22" s="40">
        <f>IF(AND(B22="SELL",L22&gt;0),D22*L22,0)</f>
        <v/>
      </c>
      <c r="N22" s="36" t="n"/>
      <c r="O22" s="43">
        <f>IF(AND(B22="SELL",G22&lt;&gt;0),Q22/ABS(G22),0)</f>
        <v/>
      </c>
      <c r="P22" s="43">
        <f>IF(AND(B22="SELL",D22&gt;0),R22/D22,0)</f>
        <v/>
      </c>
      <c r="Q22" s="44">
        <f>IF(AND(B22="SELL",D22&gt;0,E22&gt;0),(D22/E22)+G22,0)</f>
        <v/>
      </c>
      <c r="R22" s="45">
        <f>IF(B22="SELL",Q22*F22,0)</f>
        <v/>
      </c>
      <c r="S22" s="24">
        <f>S21+R22</f>
        <v/>
      </c>
    </row>
    <row r="23" ht="15.75" customHeight="1" s="94">
      <c r="A23" s="46" t="n">
        <v>22</v>
      </c>
      <c r="B23" s="47" t="inlineStr">
        <is>
          <t>SELL</t>
        </is>
      </c>
      <c r="C23" s="48" t="n">
        <v>46025</v>
      </c>
      <c r="D23" s="49" t="n">
        <v>45000</v>
      </c>
      <c r="E23" s="50" t="n">
        <v>912.9400000000001</v>
      </c>
      <c r="F23" s="50" t="n">
        <v>912.9400000000001</v>
      </c>
      <c r="G23" s="51" t="n">
        <v>-42.69</v>
      </c>
      <c r="H23" s="51" t="n"/>
      <c r="I23" s="30" t="n">
        <v>2407.45</v>
      </c>
      <c r="J23" s="51" t="n">
        <v>565</v>
      </c>
      <c r="K23" s="52">
        <f>IF(AND(B23="SELL",E23&gt;0,J23&lt;&gt;""),J23/E23,0)</f>
        <v/>
      </c>
      <c r="L23" s="52" t="n">
        <v>0.536</v>
      </c>
      <c r="M23" s="50">
        <f>IF(AND(B23="SELL",L23&gt;0),D23*L23,0)</f>
        <v/>
      </c>
      <c r="N23" s="46" t="n"/>
      <c r="O23" s="53">
        <f>IF(AND(B23="SELL",G23&lt;&gt;0),Q23/ABS(G23),0)</f>
        <v/>
      </c>
      <c r="P23" s="53">
        <f>IF(AND(B23="SELL",D23&gt;0),R23/D23,0)</f>
        <v/>
      </c>
      <c r="Q23" s="54">
        <f>IF(AND(B23="SELL",D23&gt;0,E23&gt;0),(D23/E23)+G23,0)</f>
        <v/>
      </c>
      <c r="R23" s="55">
        <f>IF(B23="SELL",Q23*F23,0)</f>
        <v/>
      </c>
      <c r="S23" s="35">
        <f>S22+R23</f>
        <v/>
      </c>
    </row>
    <row r="24" ht="15.75" customHeight="1" s="94">
      <c r="A24" s="36" t="n">
        <v>23</v>
      </c>
      <c r="B24" s="37" t="inlineStr">
        <is>
          <t>SELL</t>
        </is>
      </c>
      <c r="C24" s="38" t="n">
        <v>46025</v>
      </c>
      <c r="D24" s="39" t="n">
        <v>30000</v>
      </c>
      <c r="E24" s="40" t="n">
        <v>912.9400000000001</v>
      </c>
      <c r="F24" s="40" t="n">
        <v>912.9400000000001</v>
      </c>
      <c r="G24" s="41" t="n">
        <v>-29.09</v>
      </c>
      <c r="H24" s="41" t="n"/>
      <c r="I24" s="19" t="n">
        <v>2378.36</v>
      </c>
      <c r="J24" s="41" t="n">
        <v>591.1</v>
      </c>
      <c r="K24" s="42">
        <f>IF(AND(B24="SELL",E24&gt;0,J24&lt;&gt;""),J24/E24,0)</f>
        <v/>
      </c>
      <c r="L24" s="42" t="n">
        <v>0.573</v>
      </c>
      <c r="M24" s="40">
        <f>IF(AND(B24="SELL",L24&gt;0),D24*L24,0)</f>
        <v/>
      </c>
      <c r="N24" s="36" t="n"/>
      <c r="O24" s="43">
        <f>IF(AND(B24="SELL",G24&lt;&gt;0),Q24/ABS(G24),0)</f>
        <v/>
      </c>
      <c r="P24" s="43">
        <f>IF(AND(B24="SELL",D24&gt;0),R24/D24,0)</f>
        <v/>
      </c>
      <c r="Q24" s="44">
        <f>IF(AND(B24="SELL",D24&gt;0,E24&gt;0),(D24/E24)+G24,0)</f>
        <v/>
      </c>
      <c r="R24" s="45">
        <f>IF(B24="SELL",Q24*F24,0)</f>
        <v/>
      </c>
      <c r="S24" s="24">
        <f>S23+R24</f>
        <v/>
      </c>
    </row>
    <row r="25" ht="15.75" customHeight="1" s="94">
      <c r="A25" s="46" t="n">
        <v>24</v>
      </c>
      <c r="B25" s="47" t="inlineStr">
        <is>
          <t>SELL</t>
        </is>
      </c>
      <c r="C25" s="48" t="n">
        <v>46025</v>
      </c>
      <c r="D25" s="49" t="n">
        <v>20000</v>
      </c>
      <c r="E25" s="50" t="n">
        <v>912.9400000000001</v>
      </c>
      <c r="F25" s="50" t="n">
        <v>912.9400000000001</v>
      </c>
      <c r="G25" s="51" t="n">
        <v>-19.26</v>
      </c>
      <c r="H25" s="51" t="n"/>
      <c r="I25" s="30" t="n">
        <v>2359.1</v>
      </c>
      <c r="J25" s="51" t="n">
        <v>595</v>
      </c>
      <c r="K25" s="52">
        <f>IF(AND(B25="SELL",E25&gt;0,J25&lt;&gt;""),J25/E25,0)</f>
        <v/>
      </c>
      <c r="L25" s="52" t="n">
        <v>0.573</v>
      </c>
      <c r="M25" s="50">
        <f>IF(AND(B25="SELL",L25&gt;0),D25*L25,0)</f>
        <v/>
      </c>
      <c r="N25" s="46" t="n"/>
      <c r="O25" s="53">
        <f>IF(AND(B25="SELL",G25&lt;&gt;0),Q25/ABS(G25),0)</f>
        <v/>
      </c>
      <c r="P25" s="53">
        <f>IF(AND(B25="SELL",D25&gt;0),R25/D25,0)</f>
        <v/>
      </c>
      <c r="Q25" s="54">
        <f>IF(AND(B25="SELL",D25&gt;0,E25&gt;0),(D25/E25)+G25,0)</f>
        <v/>
      </c>
      <c r="R25" s="55">
        <f>IF(B25="SELL",Q25*F25,0)</f>
        <v/>
      </c>
      <c r="S25" s="35">
        <f>S24+R25</f>
        <v/>
      </c>
    </row>
    <row r="26" ht="15.75" customHeight="1" s="94">
      <c r="A26" s="36" t="n">
        <v>25</v>
      </c>
      <c r="B26" s="37" t="inlineStr">
        <is>
          <t>SELL</t>
        </is>
      </c>
      <c r="C26" s="38" t="n">
        <v>46026</v>
      </c>
      <c r="D26" s="39" t="n">
        <v>30000</v>
      </c>
      <c r="E26" s="40" t="n">
        <v>912.9400000000001</v>
      </c>
      <c r="F26" s="40" t="n">
        <v>912.9400000000001</v>
      </c>
      <c r="G26" s="41" t="n">
        <v>-30.69</v>
      </c>
      <c r="H26" s="41" t="n"/>
      <c r="I26" s="19" t="n">
        <v>2328.41</v>
      </c>
      <c r="J26" s="41" t="n">
        <v>592.3</v>
      </c>
      <c r="K26" s="42">
        <f>IF(AND(B26="SELL",E26&gt;0,J26&lt;&gt;""),J26/E26,0)</f>
        <v/>
      </c>
      <c r="L26" s="42" t="n">
        <v>0.606</v>
      </c>
      <c r="M26" s="40">
        <f>IF(AND(B26="SELL",L26&gt;0),D26*L26,0)</f>
        <v/>
      </c>
      <c r="N26" s="36" t="n"/>
      <c r="O26" s="43">
        <f>IF(AND(B26="SELL",G26&lt;&gt;0),Q26/ABS(G26),0)</f>
        <v/>
      </c>
      <c r="P26" s="43">
        <f>IF(AND(B26="SELL",D26&gt;0),R26/D26,0)</f>
        <v/>
      </c>
      <c r="Q26" s="44">
        <f>IF(AND(B26="SELL",D26&gt;0,E26&gt;0),(D26/E26)+G26,0)</f>
        <v/>
      </c>
      <c r="R26" s="45">
        <f>IF(B26="SELL",Q26*F26,0)</f>
        <v/>
      </c>
      <c r="S26" s="24">
        <f>S25+R26</f>
        <v/>
      </c>
    </row>
    <row r="27" ht="15.75" customHeight="1" s="94">
      <c r="A27" s="46" t="n">
        <v>26</v>
      </c>
      <c r="B27" s="47" t="inlineStr">
        <is>
          <t>SELL</t>
        </is>
      </c>
      <c r="C27" s="48" t="n">
        <v>46027</v>
      </c>
      <c r="D27" s="49" t="n">
        <v>50000</v>
      </c>
      <c r="E27" s="50" t="n">
        <v>912.9400000000001</v>
      </c>
      <c r="F27" s="50" t="n">
        <v>912.9400000000001</v>
      </c>
      <c r="G27" s="51" t="n">
        <v>-50.24</v>
      </c>
      <c r="H27" s="51" t="n"/>
      <c r="I27" s="30" t="n">
        <v>2278.17</v>
      </c>
      <c r="J27" s="51" t="n">
        <v>595.077</v>
      </c>
      <c r="K27" s="52">
        <f>IF(AND(B27="SELL",E27&gt;0,J27&lt;&gt;""),J27/E27,0)</f>
        <v/>
      </c>
      <c r="L27" s="52" t="n">
        <v>0.598</v>
      </c>
      <c r="M27" s="50">
        <f>IF(AND(B27="SELL",L27&gt;0),D27*L27,0)</f>
        <v/>
      </c>
      <c r="N27" s="46" t="n"/>
      <c r="O27" s="53">
        <f>IF(AND(B27="SELL",G27&lt;&gt;0),Q27/ABS(G27),0)</f>
        <v/>
      </c>
      <c r="P27" s="53">
        <f>IF(AND(B27="SELL",D27&gt;0),R27/D27,0)</f>
        <v/>
      </c>
      <c r="Q27" s="54">
        <f>IF(AND(B27="SELL",D27&gt;0,E27&gt;0),(D27/E27)+G27,0)</f>
        <v/>
      </c>
      <c r="R27" s="55">
        <f>IF(B27="SELL",Q27*F27,0)</f>
        <v/>
      </c>
      <c r="S27" s="35">
        <f>S26+R27</f>
        <v/>
      </c>
    </row>
    <row r="28" ht="15.75" customHeight="1" s="94">
      <c r="A28" s="36" t="n">
        <v>27</v>
      </c>
      <c r="B28" s="37" t="inlineStr">
        <is>
          <t>SELL</t>
        </is>
      </c>
      <c r="C28" s="38" t="n">
        <v>46027</v>
      </c>
      <c r="D28" s="39" t="n">
        <v>50000</v>
      </c>
      <c r="E28" s="40" t="n">
        <v>912.9400000000001</v>
      </c>
      <c r="F28" s="40" t="n">
        <v>912.9400000000001</v>
      </c>
      <c r="G28" s="41" t="n">
        <v>-50.59</v>
      </c>
      <c r="H28" s="41" t="n"/>
      <c r="I28" s="19" t="n">
        <v>2227.58</v>
      </c>
      <c r="J28" s="41" t="n">
        <v>591</v>
      </c>
      <c r="K28" s="42">
        <f>IF(AND(B28="SELL",E28&gt;0,J28&lt;&gt;""),J28/E28,0)</f>
        <v/>
      </c>
      <c r="L28" s="42" t="n">
        <v>0.598</v>
      </c>
      <c r="M28" s="40">
        <f>IF(AND(B28="SELL",L28&gt;0),D28*L28,0)</f>
        <v/>
      </c>
      <c r="N28" s="36" t="n"/>
      <c r="O28" s="43">
        <f>IF(AND(B28="SELL",G28&lt;&gt;0),Q28/ABS(G28),0)</f>
        <v/>
      </c>
      <c r="P28" s="43">
        <f>IF(AND(B28="SELL",D28&gt;0),R28/D28,0)</f>
        <v/>
      </c>
      <c r="Q28" s="44">
        <f>IF(AND(B28="SELL",D28&gt;0,E28&gt;0),(D28/E28)+G28,0)</f>
        <v/>
      </c>
      <c r="R28" s="45">
        <f>IF(B28="SELL",Q28*F28,0)</f>
        <v/>
      </c>
      <c r="S28" s="24">
        <f>S27+R28</f>
        <v/>
      </c>
    </row>
    <row r="29" ht="15.75" customHeight="1" s="94">
      <c r="A29" s="46" t="n">
        <v>28</v>
      </c>
      <c r="B29" s="47" t="inlineStr">
        <is>
          <t>SELL</t>
        </is>
      </c>
      <c r="C29" s="48" t="n">
        <v>46027</v>
      </c>
      <c r="D29" s="49" t="n">
        <v>10000</v>
      </c>
      <c r="E29" s="50" t="n">
        <v>912.9400000000001</v>
      </c>
      <c r="F29" s="50" t="n">
        <v>912.9400000000001</v>
      </c>
      <c r="G29" s="51" t="n">
        <v>-9.970000000000001</v>
      </c>
      <c r="H29" s="51" t="n"/>
      <c r="I29" s="30" t="n">
        <v>2217.61</v>
      </c>
      <c r="J29" s="51" t="n">
        <v>599.511</v>
      </c>
      <c r="K29" s="52">
        <f>IF(AND(B29="SELL",E29&gt;0,J29&lt;&gt;""),J29/E29,0)</f>
        <v/>
      </c>
      <c r="L29" s="52" t="n">
        <v>0.598</v>
      </c>
      <c r="M29" s="50">
        <f>IF(AND(B29="SELL",L29&gt;0),D29*L29,0)</f>
        <v/>
      </c>
      <c r="N29" s="46" t="n"/>
      <c r="O29" s="53">
        <f>IF(AND(B29="SELL",G29&lt;&gt;0),Q29/ABS(G29),0)</f>
        <v/>
      </c>
      <c r="P29" s="53">
        <f>IF(AND(B29="SELL",D29&gt;0),R29/D29,0)</f>
        <v/>
      </c>
      <c r="Q29" s="54">
        <f>IF(AND(B29="SELL",D29&gt;0,E29&gt;0),(D29/E29)+G29,0)</f>
        <v/>
      </c>
      <c r="R29" s="55">
        <f>IF(B29="SELL",Q29*F29,0)</f>
        <v/>
      </c>
      <c r="S29" s="35">
        <f>S28+R29</f>
        <v/>
      </c>
    </row>
    <row r="30" ht="15.75" customHeight="1" s="94">
      <c r="A30" s="36" t="n">
        <v>29</v>
      </c>
      <c r="B30" s="37" t="inlineStr">
        <is>
          <t>SELL</t>
        </is>
      </c>
      <c r="C30" s="38" t="n">
        <v>46027</v>
      </c>
      <c r="D30" s="39" t="n">
        <v>35000</v>
      </c>
      <c r="E30" s="40" t="n">
        <v>912.9400000000001</v>
      </c>
      <c r="F30" s="40" t="n">
        <v>912.9400000000001</v>
      </c>
      <c r="G30" s="41" t="n">
        <v>-32.39</v>
      </c>
      <c r="H30" s="41" t="n"/>
      <c r="I30" s="19" t="n">
        <v>2185.22</v>
      </c>
      <c r="J30" s="41" t="n">
        <v>646</v>
      </c>
      <c r="K30" s="42">
        <f>IF(AND(B30="SELL",E30&gt;0,J30&lt;&gt;""),J30/E30,0)</f>
        <v/>
      </c>
      <c r="L30" s="42" t="n">
        <v>0.598</v>
      </c>
      <c r="M30" s="40">
        <f>IF(AND(B30="SELL",L30&gt;0),D30*L30,0)</f>
        <v/>
      </c>
      <c r="N30" s="36" t="n"/>
      <c r="O30" s="43">
        <f>IF(AND(B30="SELL",G30&lt;&gt;0),Q30/ABS(G30),0)</f>
        <v/>
      </c>
      <c r="P30" s="43">
        <f>IF(AND(B30="SELL",D30&gt;0),R30/D30,0)</f>
        <v/>
      </c>
      <c r="Q30" s="44">
        <f>IF(AND(B30="SELL",D30&gt;0,E30&gt;0),(D30/E30)+G30,0)</f>
        <v/>
      </c>
      <c r="R30" s="45">
        <f>IF(B30="SELL",Q30*F30,0)</f>
        <v/>
      </c>
      <c r="S30" s="24">
        <f>S29+R30</f>
        <v/>
      </c>
    </row>
    <row r="31" ht="15.75" customHeight="1" s="94">
      <c r="A31" s="46" t="n">
        <v>30</v>
      </c>
      <c r="B31" s="47" t="inlineStr">
        <is>
          <t>SELL</t>
        </is>
      </c>
      <c r="C31" s="48" t="n">
        <v>46027</v>
      </c>
      <c r="D31" s="49" t="n">
        <v>20000</v>
      </c>
      <c r="E31" s="50" t="n">
        <v>912.9400000000001</v>
      </c>
      <c r="F31" s="50" t="n">
        <v>912.9400000000001</v>
      </c>
      <c r="G31" s="51" t="n">
        <v>-19.68</v>
      </c>
      <c r="H31" s="51" t="n"/>
      <c r="I31" s="30" t="n">
        <v>2165.54</v>
      </c>
      <c r="J31" s="51" t="n">
        <v>607.5</v>
      </c>
      <c r="K31" s="52">
        <f>IF(AND(B31="SELL",E31&gt;0,J31&lt;&gt;""),J31/E31,0)</f>
        <v/>
      </c>
      <c r="L31" s="52" t="n">
        <v>0.598</v>
      </c>
      <c r="M31" s="50">
        <f>IF(AND(B31="SELL",L31&gt;0),D31*L31,0)</f>
        <v/>
      </c>
      <c r="N31" s="46" t="n"/>
      <c r="O31" s="53">
        <f>IF(AND(B31="SELL",G31&lt;&gt;0),Q31/ABS(G31),0)</f>
        <v/>
      </c>
      <c r="P31" s="53">
        <f>IF(AND(B31="SELL",D31&gt;0),R31/D31,0)</f>
        <v/>
      </c>
      <c r="Q31" s="54">
        <f>IF(AND(B31="SELL",D31&gt;0,E31&gt;0),(D31/E31)+G31,0)</f>
        <v/>
      </c>
      <c r="R31" s="55">
        <f>IF(B31="SELL",Q31*F31,0)</f>
        <v/>
      </c>
      <c r="S31" s="35">
        <f>S30+R31</f>
        <v/>
      </c>
    </row>
    <row r="32" ht="15.75" customHeight="1" s="94">
      <c r="A32" s="36" t="n">
        <v>31</v>
      </c>
      <c r="B32" s="37" t="inlineStr">
        <is>
          <t>SELL</t>
        </is>
      </c>
      <c r="C32" s="38" t="n">
        <v>46027</v>
      </c>
      <c r="D32" s="39" t="n">
        <v>10000</v>
      </c>
      <c r="E32" s="40" t="n">
        <v>912.9400000000001</v>
      </c>
      <c r="F32" s="40" t="n">
        <v>912.9400000000001</v>
      </c>
      <c r="G32" s="41" t="n">
        <v>-9.66</v>
      </c>
      <c r="H32" s="41" t="n"/>
      <c r="I32" s="19" t="n">
        <v>2155.88</v>
      </c>
      <c r="J32" s="41" t="n">
        <v>618.999</v>
      </c>
      <c r="K32" s="42">
        <f>IF(AND(B32="SELL",E32&gt;0,J32&lt;&gt;""),J32/E32,0)</f>
        <v/>
      </c>
      <c r="L32" s="42" t="n">
        <v>0.598</v>
      </c>
      <c r="M32" s="40">
        <f>IF(AND(B32="SELL",L32&gt;0),D32*L32,0)</f>
        <v/>
      </c>
      <c r="N32" s="36" t="n"/>
      <c r="O32" s="43">
        <f>IF(AND(B32="SELL",G32&lt;&gt;0),Q32/ABS(G32),0)</f>
        <v/>
      </c>
      <c r="P32" s="43">
        <f>IF(AND(B32="SELL",D32&gt;0),R32/D32,0)</f>
        <v/>
      </c>
      <c r="Q32" s="44">
        <f>IF(AND(B32="SELL",D32&gt;0,E32&gt;0),(D32/E32)+G32,0)</f>
        <v/>
      </c>
      <c r="R32" s="45">
        <f>IF(B32="SELL",Q32*F32,0)</f>
        <v/>
      </c>
      <c r="S32" s="24">
        <f>S31+R32</f>
        <v/>
      </c>
    </row>
    <row r="33" ht="15.75" customHeight="1" s="94">
      <c r="A33" s="46" t="n">
        <v>32</v>
      </c>
      <c r="B33" s="47" t="inlineStr">
        <is>
          <t>SELL</t>
        </is>
      </c>
      <c r="C33" s="48" t="n">
        <v>46027</v>
      </c>
      <c r="D33" s="49" t="n">
        <v>15000</v>
      </c>
      <c r="E33" s="50" t="n">
        <v>912.9400000000001</v>
      </c>
      <c r="F33" s="50" t="n">
        <v>912.9400000000001</v>
      </c>
      <c r="G33" s="51" t="n">
        <v>-14.23</v>
      </c>
      <c r="H33" s="51" t="n"/>
      <c r="I33" s="30" t="n">
        <v>2141.65</v>
      </c>
      <c r="J33" s="51" t="n">
        <v>630.08</v>
      </c>
      <c r="K33" s="52">
        <f>IF(AND(B33="SELL",E33&gt;0,J33&lt;&gt;""),J33/E33,0)</f>
        <v/>
      </c>
      <c r="L33" s="52" t="n">
        <v>0.598</v>
      </c>
      <c r="M33" s="50">
        <f>IF(AND(B33="SELL",L33&gt;0),D33*L33,0)</f>
        <v/>
      </c>
      <c r="N33" s="46" t="n"/>
      <c r="O33" s="53">
        <f>IF(AND(B33="SELL",G33&lt;&gt;0),Q33/ABS(G33),0)</f>
        <v/>
      </c>
      <c r="P33" s="53">
        <f>IF(AND(B33="SELL",D33&gt;0),R33/D33,0)</f>
        <v/>
      </c>
      <c r="Q33" s="54">
        <f>IF(AND(B33="SELL",D33&gt;0,E33&gt;0),(D33/E33)+G33,0)</f>
        <v/>
      </c>
      <c r="R33" s="55">
        <f>IF(B33="SELL",Q33*F33,0)</f>
        <v/>
      </c>
      <c r="S33" s="35">
        <f>S32+R33</f>
        <v/>
      </c>
    </row>
    <row r="34" ht="15.75" customHeight="1" s="94">
      <c r="A34" s="36" t="n">
        <v>33</v>
      </c>
      <c r="B34" s="37" t="inlineStr">
        <is>
          <t>SELL</t>
        </is>
      </c>
      <c r="C34" s="38" t="n">
        <v>46027</v>
      </c>
      <c r="D34" s="39" t="n">
        <v>10000</v>
      </c>
      <c r="E34" s="40" t="n">
        <v>912.9400000000001</v>
      </c>
      <c r="F34" s="40" t="n">
        <v>912.9400000000001</v>
      </c>
      <c r="G34" s="41" t="n">
        <v>-9.460000000000001</v>
      </c>
      <c r="H34" s="41" t="n"/>
      <c r="I34" s="19" t="n">
        <v>2132.19</v>
      </c>
      <c r="J34" s="41" t="n">
        <v>631.73</v>
      </c>
      <c r="K34" s="42">
        <f>IF(AND(B34="SELL",E34&gt;0,J34&lt;&gt;""),J34/E34,0)</f>
        <v/>
      </c>
      <c r="L34" s="42" t="n">
        <v>0.598</v>
      </c>
      <c r="M34" s="40">
        <f>IF(AND(B34="SELL",L34&gt;0),D34*L34,0)</f>
        <v/>
      </c>
      <c r="N34" s="36" t="n"/>
      <c r="O34" s="43">
        <f>IF(AND(B34="SELL",G34&lt;&gt;0),Q34/ABS(G34),0)</f>
        <v/>
      </c>
      <c r="P34" s="43">
        <f>IF(AND(B34="SELL",D34&gt;0),R34/D34,0)</f>
        <v/>
      </c>
      <c r="Q34" s="44">
        <f>IF(AND(B34="SELL",D34&gt;0,E34&gt;0),(D34/E34)+G34,0)</f>
        <v/>
      </c>
      <c r="R34" s="45">
        <f>IF(B34="SELL",Q34*F34,0)</f>
        <v/>
      </c>
      <c r="S34" s="24">
        <f>S33+R34</f>
        <v/>
      </c>
    </row>
    <row r="35" ht="15.75" customHeight="1" s="94">
      <c r="A35" s="46" t="n">
        <v>34</v>
      </c>
      <c r="B35" s="47" t="inlineStr">
        <is>
          <t>SELL</t>
        </is>
      </c>
      <c r="C35" s="48" t="n">
        <v>46028</v>
      </c>
      <c r="D35" s="49" t="n">
        <v>358000</v>
      </c>
      <c r="E35" s="50" t="n">
        <v>912.9400000000001</v>
      </c>
      <c r="F35" s="50" t="n">
        <v>912.9400000000001</v>
      </c>
      <c r="G35" s="51" t="n">
        <v>-347.91</v>
      </c>
      <c r="H35" s="51" t="n"/>
      <c r="I35" s="30" t="n">
        <v>1784.28</v>
      </c>
      <c r="J35" s="51" t="n">
        <v>649.3</v>
      </c>
      <c r="K35" s="52">
        <f>IF(AND(B35="SELL",E35&gt;0,J35&lt;&gt;""),J35/E35,0)</f>
        <v/>
      </c>
      <c r="L35" s="52" t="n">
        <v>0.631</v>
      </c>
      <c r="M35" s="50">
        <f>IF(AND(B35="SELL",L35&gt;0),D35*L35,0)</f>
        <v/>
      </c>
      <c r="N35" s="46" t="n"/>
      <c r="O35" s="53">
        <f>IF(AND(B35="SELL",G35&lt;&gt;0),Q35/ABS(G35),0)</f>
        <v/>
      </c>
      <c r="P35" s="53">
        <f>IF(AND(B35="SELL",D35&gt;0),R35/D35,0)</f>
        <v/>
      </c>
      <c r="Q35" s="54">
        <f>IF(AND(B35="SELL",D35&gt;0,E35&gt;0),(D35/E35)+G35,0)</f>
        <v/>
      </c>
      <c r="R35" s="55">
        <f>IF(B35="SELL",Q35*F35,0)</f>
        <v/>
      </c>
      <c r="S35" s="35">
        <f>S34+R35</f>
        <v/>
      </c>
    </row>
    <row r="36" ht="15.75" customHeight="1" s="94">
      <c r="A36" s="36" t="n">
        <v>35</v>
      </c>
      <c r="B36" s="37" t="inlineStr">
        <is>
          <t>SELL</t>
        </is>
      </c>
      <c r="C36" s="38" t="n">
        <v>46028</v>
      </c>
      <c r="D36" s="39" t="n">
        <v>50000</v>
      </c>
      <c r="E36" s="40" t="n">
        <v>912.9400000000001</v>
      </c>
      <c r="F36" s="40" t="n">
        <v>912.9400000000001</v>
      </c>
      <c r="G36" s="41" t="n">
        <v>-49.1</v>
      </c>
      <c r="H36" s="41" t="n"/>
      <c r="I36" s="19" t="n">
        <v>1735.18</v>
      </c>
      <c r="J36" s="41" t="n">
        <v>641.51</v>
      </c>
      <c r="K36" s="42">
        <f>IF(AND(B36="SELL",E36&gt;0,J36&lt;&gt;""),J36/E36,0)</f>
        <v/>
      </c>
      <c r="L36" s="42" t="n">
        <v>0.63</v>
      </c>
      <c r="M36" s="40">
        <f>IF(AND(B36="SELL",L36&gt;0),D36*L36,0)</f>
        <v/>
      </c>
      <c r="N36" s="36" t="n"/>
      <c r="O36" s="43">
        <f>IF(AND(B36="SELL",G36&lt;&gt;0),Q36/ABS(G36),0)</f>
        <v/>
      </c>
      <c r="P36" s="43">
        <f>IF(AND(B36="SELL",D36&gt;0),R36/D36,0)</f>
        <v/>
      </c>
      <c r="Q36" s="44">
        <f>IF(AND(B36="SELL",D36&gt;0,E36&gt;0),(D36/E36)+G36,0)</f>
        <v/>
      </c>
      <c r="R36" s="45">
        <f>IF(B36="SELL",Q36*F36,0)</f>
        <v/>
      </c>
      <c r="S36" s="24">
        <f>S35+R36</f>
        <v/>
      </c>
    </row>
    <row r="37" ht="15.75" customHeight="1" s="94">
      <c r="A37" s="46" t="n">
        <v>36</v>
      </c>
      <c r="B37" s="47" t="inlineStr">
        <is>
          <t>SELL</t>
        </is>
      </c>
      <c r="C37" s="48" t="n">
        <v>46028</v>
      </c>
      <c r="D37" s="49" t="n">
        <v>150000</v>
      </c>
      <c r="E37" s="50" t="n">
        <v>912.9400000000001</v>
      </c>
      <c r="F37" s="50" t="n">
        <v>912.9400000000001</v>
      </c>
      <c r="G37" s="51" t="n">
        <v>-140.53</v>
      </c>
      <c r="H37" s="51" t="n"/>
      <c r="I37" s="30" t="n">
        <v>1594.65</v>
      </c>
      <c r="J37" s="51" t="n">
        <v>650</v>
      </c>
      <c r="K37" s="52">
        <f>IF(AND(B37="SELL",E37&gt;0,J37&lt;&gt;""),J37/E37,0)</f>
        <v/>
      </c>
      <c r="L37" s="52" t="n">
        <v>0.63</v>
      </c>
      <c r="M37" s="50">
        <f>IF(AND(B37="SELL",L37&gt;0),D37*L37,0)</f>
        <v/>
      </c>
      <c r="N37" s="46" t="n"/>
      <c r="O37" s="53">
        <f>IF(AND(B37="SELL",G37&lt;&gt;0),Q37/ABS(G37),0)</f>
        <v/>
      </c>
      <c r="P37" s="53">
        <f>IF(AND(B37="SELL",D37&gt;0),R37/D37,0)</f>
        <v/>
      </c>
      <c r="Q37" s="54">
        <f>IF(AND(B37="SELL",D37&gt;0,E37&gt;0),(D37/E37)+G37,0)</f>
        <v/>
      </c>
      <c r="R37" s="55">
        <f>IF(B37="SELL",Q37*F37,0)</f>
        <v/>
      </c>
      <c r="S37" s="35">
        <f>S36+R37</f>
        <v/>
      </c>
    </row>
    <row r="38" ht="15.75" customHeight="1" s="94">
      <c r="A38" s="36" t="n">
        <v>37</v>
      </c>
      <c r="B38" s="37" t="inlineStr">
        <is>
          <t>SELL</t>
        </is>
      </c>
      <c r="C38" s="38" t="n">
        <v>46028</v>
      </c>
      <c r="D38" s="39" t="n">
        <v>100000</v>
      </c>
      <c r="E38" s="40" t="n">
        <v>912.9400000000001</v>
      </c>
      <c r="F38" s="40" t="n">
        <v>912.9400000000001</v>
      </c>
      <c r="G38" s="41" t="n">
        <v>-91.42</v>
      </c>
      <c r="H38" s="41" t="n"/>
      <c r="I38" s="19" t="n">
        <v>1503.23</v>
      </c>
      <c r="J38" s="41" t="n">
        <v>689.1</v>
      </c>
      <c r="K38" s="42">
        <f>IF(AND(B38="SELL",E38&gt;0,J38&lt;&gt;""),J38/E38,0)</f>
        <v/>
      </c>
      <c r="L38" s="42" t="n">
        <v>0.63</v>
      </c>
      <c r="M38" s="40">
        <f>IF(AND(B38="SELL",L38&gt;0),D38*L38,0)</f>
        <v/>
      </c>
      <c r="N38" s="36" t="n"/>
      <c r="O38" s="43">
        <f>IF(AND(B38="SELL",G38&lt;&gt;0),Q38/ABS(G38),0)</f>
        <v/>
      </c>
      <c r="P38" s="43">
        <f>IF(AND(B38="SELL",D38&gt;0),R38/D38,0)</f>
        <v/>
      </c>
      <c r="Q38" s="44">
        <f>IF(AND(B38="SELL",D38&gt;0,E38&gt;0),(D38/E38)+G38,0)</f>
        <v/>
      </c>
      <c r="R38" s="45">
        <f>IF(B38="SELL",Q38*F38,0)</f>
        <v/>
      </c>
      <c r="S38" s="24">
        <f>S37+R38</f>
        <v/>
      </c>
    </row>
    <row r="39" ht="15.75" customHeight="1" s="94">
      <c r="A39" s="46" t="n">
        <v>38</v>
      </c>
      <c r="B39" s="47" t="inlineStr">
        <is>
          <t>SELL</t>
        </is>
      </c>
      <c r="C39" s="48" t="n">
        <v>46028</v>
      </c>
      <c r="D39" s="49" t="n">
        <v>23100</v>
      </c>
      <c r="E39" s="50" t="n">
        <v>912.9400000000001</v>
      </c>
      <c r="F39" s="50" t="n">
        <v>912.9400000000001</v>
      </c>
      <c r="G39" s="51" t="n">
        <v>-21.1</v>
      </c>
      <c r="H39" s="51" t="n"/>
      <c r="I39" s="30" t="n">
        <v>1482.13</v>
      </c>
      <c r="J39" s="51" t="n">
        <v>687</v>
      </c>
      <c r="K39" s="52">
        <f>IF(AND(B39="SELL",E39&gt;0,J39&lt;&gt;""),J39/E39,0)</f>
        <v/>
      </c>
      <c r="L39" s="52" t="n">
        <v>0.63</v>
      </c>
      <c r="M39" s="50">
        <f>IF(AND(B39="SELL",L39&gt;0),D39*L39,0)</f>
        <v/>
      </c>
      <c r="N39" s="46" t="n"/>
      <c r="O39" s="53">
        <f>IF(AND(B39="SELL",G39&lt;&gt;0),Q39/ABS(G39),0)</f>
        <v/>
      </c>
      <c r="P39" s="53">
        <f>IF(AND(B39="SELL",D39&gt;0),R39/D39,0)</f>
        <v/>
      </c>
      <c r="Q39" s="54">
        <f>IF(AND(B39="SELL",D39&gt;0,E39&gt;0),(D39/E39)+G39,0)</f>
        <v/>
      </c>
      <c r="R39" s="55">
        <f>IF(B39="SELL",Q39*F39,0)</f>
        <v/>
      </c>
      <c r="S39" s="35">
        <f>S38+R39</f>
        <v/>
      </c>
    </row>
    <row r="40" ht="15.75" customHeight="1" s="94">
      <c r="A40" s="36" t="n">
        <v>39</v>
      </c>
      <c r="B40" s="37" t="inlineStr">
        <is>
          <t>SELL</t>
        </is>
      </c>
      <c r="C40" s="38" t="n">
        <v>46028</v>
      </c>
      <c r="D40" s="39" t="n">
        <v>150000</v>
      </c>
      <c r="E40" s="40" t="n">
        <v>912.9400000000001</v>
      </c>
      <c r="F40" s="40" t="n">
        <v>912.9400000000001</v>
      </c>
      <c r="G40" s="41" t="n">
        <v>-134.97</v>
      </c>
      <c r="H40" s="41" t="n"/>
      <c r="I40" s="19" t="n">
        <v>1347.16</v>
      </c>
      <c r="J40" s="41" t="n">
        <v>700.105</v>
      </c>
      <c r="K40" s="42">
        <f>IF(AND(B40="SELL",E40&gt;0,J40&lt;&gt;""),J40/E40,0)</f>
        <v/>
      </c>
      <c r="L40" s="42" t="n">
        <v>0.63</v>
      </c>
      <c r="M40" s="40">
        <f>IF(AND(B40="SELL",L40&gt;0),D40*L40,0)</f>
        <v/>
      </c>
      <c r="N40" s="36" t="n"/>
      <c r="O40" s="43">
        <f>IF(AND(B40="SELL",G40&lt;&gt;0),Q40/ABS(G40),0)</f>
        <v/>
      </c>
      <c r="P40" s="43">
        <f>IF(AND(B40="SELL",D40&gt;0),R40/D40,0)</f>
        <v/>
      </c>
      <c r="Q40" s="44">
        <f>IF(AND(B40="SELL",D40&gt;0,E40&gt;0),(D40/E40)+G40,0)</f>
        <v/>
      </c>
      <c r="R40" s="45">
        <f>IF(B40="SELL",Q40*F40,0)</f>
        <v/>
      </c>
      <c r="S40" s="24">
        <f>S39+R40</f>
        <v/>
      </c>
    </row>
    <row r="41" ht="15.75" customHeight="1" s="94">
      <c r="A41" s="46" t="n">
        <v>40</v>
      </c>
      <c r="B41" s="47" t="inlineStr">
        <is>
          <t>SELL</t>
        </is>
      </c>
      <c r="C41" s="48" t="n">
        <v>46028</v>
      </c>
      <c r="D41" s="49" t="n">
        <v>20000</v>
      </c>
      <c r="E41" s="50" t="n">
        <v>912.9400000000001</v>
      </c>
      <c r="F41" s="50" t="n">
        <v>912.9400000000001</v>
      </c>
      <c r="G41" s="51" t="n">
        <v>-17.83</v>
      </c>
      <c r="H41" s="51" t="n"/>
      <c r="I41" s="30" t="n">
        <v>1329.33</v>
      </c>
      <c r="J41" s="51" t="n">
        <v>706.537</v>
      </c>
      <c r="K41" s="52">
        <f>IF(AND(B41="SELL",E41&gt;0,J41&lt;&gt;""),J41/E41,0)</f>
        <v/>
      </c>
      <c r="L41" s="52" t="n">
        <v>0.63</v>
      </c>
      <c r="M41" s="50">
        <f>IF(AND(B41="SELL",L41&gt;0),D41*L41,0)</f>
        <v/>
      </c>
      <c r="N41" s="46" t="n"/>
      <c r="O41" s="53">
        <f>IF(AND(B41="SELL",G41&lt;&gt;0),Q41/ABS(G41),0)</f>
        <v/>
      </c>
      <c r="P41" s="53">
        <f>IF(AND(B41="SELL",D41&gt;0),R41/D41,0)</f>
        <v/>
      </c>
      <c r="Q41" s="54">
        <f>IF(AND(B41="SELL",D41&gt;0,E41&gt;0),(D41/E41)+G41,0)</f>
        <v/>
      </c>
      <c r="R41" s="55">
        <f>IF(B41="SELL",Q41*F41,0)</f>
        <v/>
      </c>
      <c r="S41" s="35">
        <f>S40+R41</f>
        <v/>
      </c>
    </row>
    <row r="42" ht="15.75" customHeight="1" s="94">
      <c r="A42" s="36" t="n">
        <v>41</v>
      </c>
      <c r="B42" s="37" t="inlineStr">
        <is>
          <t>SELL</t>
        </is>
      </c>
      <c r="C42" s="38" t="n">
        <v>46028</v>
      </c>
      <c r="D42" s="39" t="n">
        <v>20000</v>
      </c>
      <c r="E42" s="40" t="n">
        <v>912.9400000000001</v>
      </c>
      <c r="F42" s="40" t="n">
        <v>912.9400000000001</v>
      </c>
      <c r="G42" s="41" t="n">
        <v>-17.8</v>
      </c>
      <c r="H42" s="41" t="n"/>
      <c r="I42" s="19" t="n">
        <v>1311.53</v>
      </c>
      <c r="J42" s="41" t="n">
        <v>707.5</v>
      </c>
      <c r="K42" s="42">
        <f>IF(AND(B42="SELL",E42&gt;0,J42&lt;&gt;""),J42/E42,0)</f>
        <v/>
      </c>
      <c r="L42" s="42" t="n">
        <v>0.63</v>
      </c>
      <c r="M42" s="40">
        <f>IF(AND(B42="SELL",L42&gt;0),D42*L42,0)</f>
        <v/>
      </c>
      <c r="N42" s="36" t="n"/>
      <c r="O42" s="43">
        <f>IF(AND(B42="SELL",G42&lt;&gt;0),Q42/ABS(G42),0)</f>
        <v/>
      </c>
      <c r="P42" s="43">
        <f>IF(AND(B42="SELL",D42&gt;0),R42/D42,0)</f>
        <v/>
      </c>
      <c r="Q42" s="44">
        <f>IF(AND(B42="SELL",D42&gt;0,E42&gt;0),(D42/E42)+G42,0)</f>
        <v/>
      </c>
      <c r="R42" s="45">
        <f>IF(B42="SELL",Q42*F42,0)</f>
        <v/>
      </c>
      <c r="S42" s="24">
        <f>S41+R42</f>
        <v/>
      </c>
    </row>
    <row r="43" ht="15.75" customHeight="1" s="94">
      <c r="A43" s="46" t="n">
        <v>42</v>
      </c>
      <c r="B43" s="47" t="inlineStr">
        <is>
          <t>SELL</t>
        </is>
      </c>
      <c r="C43" s="48" t="n">
        <v>46028</v>
      </c>
      <c r="D43" s="49" t="n">
        <v>30000</v>
      </c>
      <c r="E43" s="50" t="n">
        <v>912.9400000000001</v>
      </c>
      <c r="F43" s="50" t="n">
        <v>912.9400000000001</v>
      </c>
      <c r="G43" s="51" t="n">
        <v>-31.05</v>
      </c>
      <c r="H43" s="51" t="n"/>
      <c r="I43" s="30" t="n">
        <v>1270.48</v>
      </c>
      <c r="J43" s="51" t="n">
        <v>539</v>
      </c>
      <c r="K43" s="52">
        <f>IF(AND(B43="SELL",E43&gt;0,J43&lt;&gt;""),J43/E43,0)</f>
        <v/>
      </c>
      <c r="L43" s="52" t="n">
        <v>0.5580000000000001</v>
      </c>
      <c r="M43" s="50">
        <f>IF(AND(B43="SELL",L43&gt;0),D43*L43,0)</f>
        <v/>
      </c>
      <c r="N43" s="46" t="inlineStr">
        <is>
          <t>de diciembre</t>
        </is>
      </c>
      <c r="O43" s="53">
        <f>IF(AND(B43="SELL",G43&lt;&gt;0),Q43/ABS(G43),0)</f>
        <v/>
      </c>
      <c r="P43" s="53">
        <f>IF(AND(B43="SELL",D43&gt;0),R43/D43,0)</f>
        <v/>
      </c>
      <c r="Q43" s="54">
        <f>IF(AND(B43="SELL",D43&gt;0,E43&gt;0),(D43/E43)+G43,0)</f>
        <v/>
      </c>
      <c r="R43" s="55">
        <f>IF(B43="SELL",Q43*F43,0)</f>
        <v/>
      </c>
      <c r="S43" s="35">
        <f>S42+R43</f>
        <v/>
      </c>
    </row>
    <row r="44" ht="15.75" customHeight="1" s="94">
      <c r="A44" s="36" t="n">
        <v>43</v>
      </c>
      <c r="B44" s="37" t="inlineStr">
        <is>
          <t>SELL</t>
        </is>
      </c>
      <c r="C44" s="38" t="n">
        <v>46029</v>
      </c>
      <c r="D44" s="39" t="n">
        <v>20000</v>
      </c>
      <c r="E44" s="40" t="n">
        <v>912.9400000000001</v>
      </c>
      <c r="F44" s="40" t="n">
        <v>912.9400000000001</v>
      </c>
      <c r="G44" s="41" t="n">
        <v>-19.08</v>
      </c>
      <c r="H44" s="41" t="n"/>
      <c r="I44" s="19" t="n">
        <v>1247.2</v>
      </c>
      <c r="J44" s="41" t="n">
        <v>811.1</v>
      </c>
      <c r="K44" s="42">
        <f>IF(AND(B44="SELL",E44&gt;0,J44&lt;&gt;""),J44/E44,0)</f>
        <v/>
      </c>
      <c r="L44" s="42" t="n">
        <v>0.774</v>
      </c>
      <c r="M44" s="40">
        <f>IF(AND(B44="SELL",L44&gt;0),D44*L44,0)</f>
        <v/>
      </c>
      <c r="N44" s="36" t="n"/>
      <c r="O44" s="43">
        <f>IF(AND(B44="SELL",G44&lt;&gt;0),Q44/ABS(G44),0)</f>
        <v/>
      </c>
      <c r="P44" s="43">
        <f>IF(AND(B44="SELL",D44&gt;0),R44/D44,0)</f>
        <v/>
      </c>
      <c r="Q44" s="44">
        <f>IF(AND(B44="SELL",D44&gt;0,E44&gt;0),(D44/E44)+G44,0)</f>
        <v/>
      </c>
      <c r="R44" s="45">
        <f>IF(B44="SELL",Q44*F44,0)</f>
        <v/>
      </c>
      <c r="S44" s="24">
        <f>S43+R44</f>
        <v/>
      </c>
    </row>
    <row r="45" ht="15.75" customHeight="1" s="94">
      <c r="A45" s="46" t="n">
        <v>44</v>
      </c>
      <c r="B45" s="47" t="inlineStr">
        <is>
          <t>SELL</t>
        </is>
      </c>
      <c r="C45" s="48" t="n">
        <v>46029</v>
      </c>
      <c r="D45" s="49" t="n">
        <v>40000</v>
      </c>
      <c r="E45" s="50" t="n">
        <v>912.9400000000001</v>
      </c>
      <c r="F45" s="50" t="n">
        <v>912.9400000000001</v>
      </c>
      <c r="G45" s="51" t="n">
        <v>-37.77</v>
      </c>
      <c r="H45" s="51" t="n"/>
      <c r="I45" s="30" t="n">
        <v>1209.43</v>
      </c>
      <c r="J45" s="51" t="n">
        <v>819.6</v>
      </c>
      <c r="K45" s="52">
        <f>IF(AND(B45="SELL",E45&gt;0,J45&lt;&gt;""),J45/E45,0)</f>
        <v/>
      </c>
      <c r="L45" s="52" t="n">
        <v>0.774</v>
      </c>
      <c r="M45" s="50">
        <f>IF(AND(B45="SELL",L45&gt;0),D45*L45,0)</f>
        <v/>
      </c>
      <c r="N45" s="46" t="n"/>
      <c r="O45" s="53">
        <f>IF(AND(B45="SELL",G45&lt;&gt;0),Q45/ABS(G45),0)</f>
        <v/>
      </c>
      <c r="P45" s="53">
        <f>IF(AND(B45="SELL",D45&gt;0),R45/D45,0)</f>
        <v/>
      </c>
      <c r="Q45" s="54">
        <f>IF(AND(B45="SELL",D45&gt;0,E45&gt;0),(D45/E45)+G45,0)</f>
        <v/>
      </c>
      <c r="R45" s="55">
        <f>IF(B45="SELL",Q45*F45,0)</f>
        <v/>
      </c>
      <c r="S45" s="35">
        <f>S44+R45</f>
        <v/>
      </c>
    </row>
    <row r="46" ht="15.75" customHeight="1" s="94">
      <c r="A46" s="36" t="n">
        <v>45</v>
      </c>
      <c r="B46" s="37" t="inlineStr">
        <is>
          <t>SELL</t>
        </is>
      </c>
      <c r="C46" s="38" t="n">
        <v>46029</v>
      </c>
      <c r="D46" s="39" t="n">
        <v>20000</v>
      </c>
      <c r="E46" s="40" t="n">
        <v>912.9400000000001</v>
      </c>
      <c r="F46" s="40" t="n">
        <v>912.9400000000001</v>
      </c>
      <c r="G46" s="41" t="n">
        <v>-18.78</v>
      </c>
      <c r="H46" s="41" t="n"/>
      <c r="I46" s="19" t="n">
        <v>1190.65</v>
      </c>
      <c r="J46" s="41" t="n">
        <v>824</v>
      </c>
      <c r="K46" s="42">
        <f>IF(AND(B46="SELL",E46&gt;0,J46&lt;&gt;""),J46/E46,0)</f>
        <v/>
      </c>
      <c r="L46" s="42" t="n">
        <v>0.774</v>
      </c>
      <c r="M46" s="40">
        <f>IF(AND(B46="SELL",L46&gt;0),D46*L46,0)</f>
        <v/>
      </c>
      <c r="N46" s="36" t="n"/>
      <c r="O46" s="43">
        <f>IF(AND(B46="SELL",G46&lt;&gt;0),Q46/ABS(G46),0)</f>
        <v/>
      </c>
      <c r="P46" s="43">
        <f>IF(AND(B46="SELL",D46&gt;0),R46/D46,0)</f>
        <v/>
      </c>
      <c r="Q46" s="44">
        <f>IF(AND(B46="SELL",D46&gt;0,E46&gt;0),(D46/E46)+G46,0)</f>
        <v/>
      </c>
      <c r="R46" s="45">
        <f>IF(B46="SELL",Q46*F46,0)</f>
        <v/>
      </c>
      <c r="S46" s="24">
        <f>S45+R46</f>
        <v/>
      </c>
    </row>
    <row r="47" ht="15.75" customHeight="1" s="94">
      <c r="A47" s="46" t="n">
        <v>46</v>
      </c>
      <c r="B47" s="47" t="inlineStr">
        <is>
          <t>SELL</t>
        </is>
      </c>
      <c r="C47" s="48" t="n">
        <v>46029</v>
      </c>
      <c r="D47" s="49" t="n">
        <v>10000</v>
      </c>
      <c r="E47" s="50" t="n">
        <v>912.9400000000001</v>
      </c>
      <c r="F47" s="50" t="n">
        <v>912.9400000000001</v>
      </c>
      <c r="G47" s="51" t="n">
        <v>-10.85</v>
      </c>
      <c r="H47" s="51" t="n"/>
      <c r="I47" s="30" t="n">
        <v>1179.8</v>
      </c>
      <c r="J47" s="51" t="n">
        <v>713.2</v>
      </c>
      <c r="K47" s="52">
        <f>IF(AND(B47="SELL",E47&gt;0,J47&lt;&gt;""),J47/E47,0)</f>
        <v/>
      </c>
      <c r="L47" s="52" t="n">
        <v>0.774</v>
      </c>
      <c r="M47" s="50">
        <f>IF(AND(B47="SELL",L47&gt;0),D47*L47,0)</f>
        <v/>
      </c>
      <c r="N47" s="46" t="n"/>
      <c r="O47" s="53">
        <f>IF(AND(B47="SELL",G47&lt;&gt;0),Q47/ABS(G47),0)</f>
        <v/>
      </c>
      <c r="P47" s="53">
        <f>IF(AND(B47="SELL",D47&gt;0),R47/D47,0)</f>
        <v/>
      </c>
      <c r="Q47" s="54">
        <f>IF(AND(B47="SELL",D47&gt;0,E47&gt;0),(D47/E47)+G47,0)</f>
        <v/>
      </c>
      <c r="R47" s="55">
        <f>IF(B47="SELL",Q47*F47,0)</f>
        <v/>
      </c>
      <c r="S47" s="35">
        <f>S46+R47</f>
        <v/>
      </c>
    </row>
    <row r="48" ht="15.75" customHeight="1" s="94">
      <c r="A48" s="36" t="n">
        <v>47</v>
      </c>
      <c r="B48" s="37" t="inlineStr">
        <is>
          <t>SELL</t>
        </is>
      </c>
      <c r="C48" s="38" t="n">
        <v>46030</v>
      </c>
      <c r="D48" s="39" t="n">
        <v>10000</v>
      </c>
      <c r="E48" s="40" t="n">
        <v>912.9400000000001</v>
      </c>
      <c r="F48" s="40" t="n">
        <v>912.9400000000001</v>
      </c>
      <c r="G48" s="41" t="n">
        <v>-11.01</v>
      </c>
      <c r="H48" s="41" t="n"/>
      <c r="I48" s="19" t="n">
        <v>1168.79</v>
      </c>
      <c r="J48" s="41" t="n">
        <v>701</v>
      </c>
      <c r="K48" s="42">
        <f>IF(AND(B48="SELL",E48&gt;0,J48&lt;&gt;""),J48/E48,0)</f>
        <v/>
      </c>
      <c r="L48" s="42" t="n">
        <v>0.772</v>
      </c>
      <c r="M48" s="40">
        <f>IF(AND(B48="SELL",L48&gt;0),D48*L48,0)</f>
        <v/>
      </c>
      <c r="N48" s="36" t="n"/>
      <c r="O48" s="43">
        <f>IF(AND(B48="SELL",G48&lt;&gt;0),Q48/ABS(G48),0)</f>
        <v/>
      </c>
      <c r="P48" s="43">
        <f>IF(AND(B48="SELL",D48&gt;0),R48/D48,0)</f>
        <v/>
      </c>
      <c r="Q48" s="44">
        <f>IF(AND(B48="SELL",D48&gt;0,E48&gt;0),(D48/E48)+G48,0)</f>
        <v/>
      </c>
      <c r="R48" s="45">
        <f>IF(B48="SELL",Q48*F48,0)</f>
        <v/>
      </c>
      <c r="S48" s="24">
        <f>S47+R48</f>
        <v/>
      </c>
    </row>
    <row r="49" ht="15.75" customHeight="1" s="94">
      <c r="A49" s="46" t="n">
        <v>48</v>
      </c>
      <c r="B49" s="47" t="inlineStr">
        <is>
          <t>SELL</t>
        </is>
      </c>
      <c r="C49" s="48" t="n">
        <v>46030</v>
      </c>
      <c r="D49" s="49" t="n">
        <v>20000</v>
      </c>
      <c r="E49" s="50" t="n">
        <v>912.9400000000001</v>
      </c>
      <c r="F49" s="50" t="n">
        <v>912.9400000000001</v>
      </c>
      <c r="G49" s="51" t="n">
        <v>-21.2</v>
      </c>
      <c r="H49" s="51" t="n"/>
      <c r="I49" s="30" t="n">
        <v>1147.59</v>
      </c>
      <c r="J49" s="51" t="n">
        <v>728</v>
      </c>
      <c r="K49" s="52">
        <f>IF(AND(B49="SELL",E49&gt;0,J49&lt;&gt;""),J49/E49,0)</f>
        <v/>
      </c>
      <c r="L49" s="52" t="n">
        <v>0.772</v>
      </c>
      <c r="M49" s="50">
        <f>IF(AND(B49="SELL",L49&gt;0),D49*L49,0)</f>
        <v/>
      </c>
      <c r="N49" s="46" t="n"/>
      <c r="O49" s="53">
        <f>IF(AND(B49="SELL",G49&lt;&gt;0),Q49/ABS(G49),0)</f>
        <v/>
      </c>
      <c r="P49" s="53">
        <f>IF(AND(B49="SELL",D49&gt;0),R49/D49,0)</f>
        <v/>
      </c>
      <c r="Q49" s="54">
        <f>IF(AND(B49="SELL",D49&gt;0,E49&gt;0),(D49/E49)+G49,0)</f>
        <v/>
      </c>
      <c r="R49" s="55">
        <f>IF(B49="SELL",Q49*F49,0)</f>
        <v/>
      </c>
      <c r="S49" s="35">
        <f>S48+R49</f>
        <v/>
      </c>
    </row>
    <row r="50" ht="15.75" customHeight="1" s="94">
      <c r="A50" s="36" t="n">
        <v>49</v>
      </c>
      <c r="B50" s="37" t="inlineStr">
        <is>
          <t>SELL</t>
        </is>
      </c>
      <c r="C50" s="38" t="n">
        <v>46030</v>
      </c>
      <c r="D50" s="39" t="n">
        <v>25000</v>
      </c>
      <c r="E50" s="40" t="n">
        <v>912.9400000000001</v>
      </c>
      <c r="F50" s="40" t="n">
        <v>912.9400000000001</v>
      </c>
      <c r="G50" s="41" t="n">
        <v>-26.29</v>
      </c>
      <c r="H50" s="41" t="n"/>
      <c r="I50" s="19" t="n">
        <v>1121.3</v>
      </c>
      <c r="J50" s="41" t="n">
        <v>734.005</v>
      </c>
      <c r="K50" s="42">
        <f>IF(AND(B50="SELL",E50&gt;0,J50&lt;&gt;""),J50/E50,0)</f>
        <v/>
      </c>
      <c r="L50" s="42" t="n">
        <v>0.772</v>
      </c>
      <c r="M50" s="40">
        <f>IF(AND(B50="SELL",L50&gt;0),D50*L50,0)</f>
        <v/>
      </c>
      <c r="N50" s="36" t="n"/>
      <c r="O50" s="43">
        <f>IF(AND(B50="SELL",G50&lt;&gt;0),Q50/ABS(G50),0)</f>
        <v/>
      </c>
      <c r="P50" s="43">
        <f>IF(AND(B50="SELL",D50&gt;0),R50/D50,0)</f>
        <v/>
      </c>
      <c r="Q50" s="44">
        <f>IF(AND(B50="SELL",D50&gt;0,E50&gt;0),(D50/E50)+G50,0)</f>
        <v/>
      </c>
      <c r="R50" s="45">
        <f>IF(B50="SELL",Q50*F50,0)</f>
        <v/>
      </c>
      <c r="S50" s="24">
        <f>S49+R50</f>
        <v/>
      </c>
    </row>
    <row r="51" ht="15.75" customHeight="1" s="94">
      <c r="A51" s="46" t="n">
        <v>50</v>
      </c>
      <c r="B51" s="47" t="inlineStr">
        <is>
          <t>SELL</t>
        </is>
      </c>
      <c r="C51" s="48" t="n">
        <v>46030</v>
      </c>
      <c r="D51" s="49" t="n">
        <v>34000</v>
      </c>
      <c r="E51" s="50" t="n">
        <v>912.9400000000001</v>
      </c>
      <c r="F51" s="50" t="n">
        <v>912.9400000000001</v>
      </c>
      <c r="G51" s="51" t="n">
        <v>-38.31</v>
      </c>
      <c r="H51" s="51" t="n"/>
      <c r="I51" s="30" t="n">
        <v>1082.99</v>
      </c>
      <c r="J51" s="51" t="n">
        <v>685</v>
      </c>
      <c r="K51" s="52">
        <f>IF(AND(B51="SELL",E51&gt;0,J51&lt;&gt;""),J51/E51,0)</f>
        <v/>
      </c>
      <c r="L51" s="52" t="n">
        <v>0.772</v>
      </c>
      <c r="M51" s="50">
        <f>IF(AND(B51="SELL",L51&gt;0),D51*L51,0)</f>
        <v/>
      </c>
      <c r="N51" s="46" t="n"/>
      <c r="O51" s="53">
        <f>IF(AND(B51="SELL",G51&lt;&gt;0),Q51/ABS(G51),0)</f>
        <v/>
      </c>
      <c r="P51" s="53">
        <f>IF(AND(B51="SELL",D51&gt;0),R51/D51,0)</f>
        <v/>
      </c>
      <c r="Q51" s="54">
        <f>IF(AND(B51="SELL",D51&gt;0,E51&gt;0),(D51/E51)+G51,0)</f>
        <v/>
      </c>
      <c r="R51" s="55">
        <f>IF(B51="SELL",Q51*F51,0)</f>
        <v/>
      </c>
      <c r="S51" s="35">
        <f>S50+R51</f>
        <v/>
      </c>
    </row>
    <row r="52" ht="15.75" customHeight="1" s="94">
      <c r="A52" s="14" t="n">
        <v>51</v>
      </c>
      <c r="B52" s="15" t="inlineStr">
        <is>
          <t>BUY</t>
        </is>
      </c>
      <c r="C52" s="16" t="n">
        <v>46031</v>
      </c>
      <c r="D52" s="17" t="n">
        <v>1368162</v>
      </c>
      <c r="E52" s="18" t="n">
        <v>912.9400000000001</v>
      </c>
      <c r="F52" s="18" t="n">
        <v>912.9400000000001</v>
      </c>
      <c r="G52" s="19" t="n">
        <v>1521.87</v>
      </c>
      <c r="H52" s="19" t="n"/>
      <c r="I52" s="19" t="n">
        <v>2604.86</v>
      </c>
      <c r="J52" s="19" t="n"/>
      <c r="K52" s="20">
        <f>IF(AND(B52="SELL",E52&gt;0,J52&lt;&gt;""),J52/E52,0)</f>
        <v/>
      </c>
      <c r="L52" s="20" t="n"/>
      <c r="M52" s="18">
        <f>IF(AND(B52="SELL",L52&gt;0),D52*L52,0)</f>
        <v/>
      </c>
      <c r="N52" s="14" t="n"/>
      <c r="O52" s="21">
        <f>IF(AND(B52="SELL",G52&lt;&gt;0),Q52/ABS(G52),0)</f>
        <v/>
      </c>
      <c r="P52" s="21">
        <f>IF(AND(B52="SELL",D52&gt;0),R52/D52,0)</f>
        <v/>
      </c>
      <c r="Q52" s="22">
        <f>IF(AND(B52="SELL",D52&gt;0,E52&gt;0),(D52/E52)+G52,0)</f>
        <v/>
      </c>
      <c r="R52" s="23">
        <f>IF(B52="SELL",Q52*F52,0)</f>
        <v/>
      </c>
      <c r="S52" s="24">
        <f>S51+R52</f>
        <v/>
      </c>
    </row>
    <row r="53" ht="15.75" customHeight="1" s="94">
      <c r="A53" s="46" t="n">
        <v>52</v>
      </c>
      <c r="B53" s="47" t="inlineStr">
        <is>
          <t>SELL</t>
        </is>
      </c>
      <c r="C53" s="48" t="n">
        <v>46032</v>
      </c>
      <c r="D53" s="49" t="n">
        <v>15000</v>
      </c>
      <c r="E53" s="50" t="n">
        <v>912.9400000000001</v>
      </c>
      <c r="F53" s="50" t="n">
        <v>912.9400000000001</v>
      </c>
      <c r="G53" s="51" t="n">
        <v>-16.35</v>
      </c>
      <c r="H53" s="51" t="n"/>
      <c r="I53" s="30" t="n">
        <v>2588.51</v>
      </c>
      <c r="J53" s="51" t="n">
        <v>518.9880000000001</v>
      </c>
      <c r="K53" s="52">
        <f>IF(AND(B53="SELL",E53&gt;0,J53&lt;&gt;""),J53/E53,0)</f>
        <v/>
      </c>
      <c r="L53" s="52" t="n">
        <v>0.5669999999999999</v>
      </c>
      <c r="M53" s="50">
        <f>IF(AND(B53="SELL",L53&gt;0),D53*L53,0)</f>
        <v/>
      </c>
      <c r="N53" s="46" t="n"/>
      <c r="O53" s="53">
        <f>IF(AND(B53="SELL",G53&lt;&gt;0),Q53/ABS(G53),0)</f>
        <v/>
      </c>
      <c r="P53" s="53">
        <f>IF(AND(B53="SELL",D53&gt;0),R53/D53,0)</f>
        <v/>
      </c>
      <c r="Q53" s="54">
        <f>IF(AND(B53="SELL",D53&gt;0,E53&gt;0),(D53/E53)+G53,0)</f>
        <v/>
      </c>
      <c r="R53" s="55">
        <f>IF(B53="SELL",Q53*F53,0)</f>
        <v/>
      </c>
      <c r="S53" s="35">
        <f>S52+R53</f>
        <v/>
      </c>
    </row>
    <row r="54" ht="15.75" customHeight="1" s="94">
      <c r="A54" s="36" t="n">
        <v>53</v>
      </c>
      <c r="B54" s="37" t="inlineStr">
        <is>
          <t>SELL</t>
        </is>
      </c>
      <c r="C54" s="38" t="n">
        <v>46032</v>
      </c>
      <c r="D54" s="39" t="n">
        <v>347000</v>
      </c>
      <c r="E54" s="40" t="n">
        <v>912.9400000000001</v>
      </c>
      <c r="F54" s="40" t="n">
        <v>912.9400000000001</v>
      </c>
      <c r="G54" s="41" t="n">
        <v>-358.87</v>
      </c>
      <c r="H54" s="41" t="n"/>
      <c r="I54" s="19" t="n">
        <v>2229.64</v>
      </c>
      <c r="J54" s="41" t="n">
        <v>555</v>
      </c>
      <c r="K54" s="42">
        <f>IF(AND(B54="SELL",E54&gt;0,J54&lt;&gt;""),J54/E54,0)</f>
        <v/>
      </c>
      <c r="L54" s="42" t="n">
        <v>0.574</v>
      </c>
      <c r="M54" s="40">
        <f>IF(AND(B54="SELL",L54&gt;0),D54*L54,0)</f>
        <v/>
      </c>
      <c r="N54" s="36" t="n"/>
      <c r="O54" s="43">
        <f>IF(AND(B54="SELL",G54&lt;&gt;0),Q54/ABS(G54),0)</f>
        <v/>
      </c>
      <c r="P54" s="43">
        <f>IF(AND(B54="SELL",D54&gt;0),R54/D54,0)</f>
        <v/>
      </c>
      <c r="Q54" s="44">
        <f>IF(AND(B54="SELL",D54&gt;0,E54&gt;0),(D54/E54)+G54,0)</f>
        <v/>
      </c>
      <c r="R54" s="45">
        <f>IF(B54="SELL",Q54*F54,0)</f>
        <v/>
      </c>
      <c r="S54" s="24">
        <f>S53+R54</f>
        <v/>
      </c>
    </row>
    <row r="55" ht="15.75" customHeight="1" s="94">
      <c r="A55" s="46" t="n">
        <v>54</v>
      </c>
      <c r="B55" s="47" t="inlineStr">
        <is>
          <t>SELL</t>
        </is>
      </c>
      <c r="C55" s="48" t="n">
        <v>46032</v>
      </c>
      <c r="D55" s="49" t="n">
        <v>10000</v>
      </c>
      <c r="E55" s="50" t="n">
        <v>912.9400000000001</v>
      </c>
      <c r="F55" s="50" t="n">
        <v>912.9400000000001</v>
      </c>
      <c r="G55" s="51" t="n">
        <v>-10.93</v>
      </c>
      <c r="H55" s="51" t="n"/>
      <c r="I55" s="30" t="n">
        <v>2218.71</v>
      </c>
      <c r="J55" s="51" t="n">
        <v>524.2190000000001</v>
      </c>
      <c r="K55" s="52">
        <f>IF(AND(B55="SELL",E55&gt;0,J55&lt;&gt;""),J55/E55,0)</f>
        <v/>
      </c>
      <c r="L55" s="52" t="n">
        <v>0.573</v>
      </c>
      <c r="M55" s="50">
        <f>IF(AND(B55="SELL",L55&gt;0),D55*L55,0)</f>
        <v/>
      </c>
      <c r="N55" s="46" t="n"/>
      <c r="O55" s="53">
        <f>IF(AND(B55="SELL",G55&lt;&gt;0),Q55/ABS(G55),0)</f>
        <v/>
      </c>
      <c r="P55" s="53">
        <f>IF(AND(B55="SELL",D55&gt;0),R55/D55,0)</f>
        <v/>
      </c>
      <c r="Q55" s="54">
        <f>IF(AND(B55="SELL",D55&gt;0,E55&gt;0),(D55/E55)+G55,0)</f>
        <v/>
      </c>
      <c r="R55" s="55">
        <f>IF(B55="SELL",Q55*F55,0)</f>
        <v/>
      </c>
      <c r="S55" s="35">
        <f>S54+R55</f>
        <v/>
      </c>
    </row>
    <row r="56" ht="15.75" customHeight="1" s="94">
      <c r="A56" s="36" t="n">
        <v>55</v>
      </c>
      <c r="B56" s="37" t="inlineStr">
        <is>
          <t>SELL</t>
        </is>
      </c>
      <c r="C56" s="38" t="n">
        <v>46032</v>
      </c>
      <c r="D56" s="39" t="n">
        <v>50000</v>
      </c>
      <c r="E56" s="40" t="n">
        <v>912.9400000000001</v>
      </c>
      <c r="F56" s="40" t="n">
        <v>912.9400000000001</v>
      </c>
      <c r="G56" s="41" t="n">
        <v>-50.85</v>
      </c>
      <c r="H56" s="41" t="n"/>
      <c r="I56" s="19" t="n">
        <v>2167.86</v>
      </c>
      <c r="J56" s="41" t="n">
        <v>17.5</v>
      </c>
      <c r="K56" s="42">
        <f>IF(AND(B56="SELL",E56&gt;0,J56&lt;&gt;""),J56/E56,0)</f>
        <v/>
      </c>
      <c r="L56" s="42" t="n">
        <v>0.0178</v>
      </c>
      <c r="M56" s="40">
        <f>IF(AND(B56="SELL",L56&gt;0),D56*L56,0)</f>
        <v/>
      </c>
      <c r="N56" s="36" t="n"/>
      <c r="O56" s="43">
        <f>IF(AND(B56="SELL",G56&lt;&gt;0),Q56/ABS(G56),0)</f>
        <v/>
      </c>
      <c r="P56" s="43">
        <f>IF(AND(B56="SELL",D56&gt;0),R56/D56,0)</f>
        <v/>
      </c>
      <c r="Q56" s="44">
        <f>IF(AND(B56="SELL",D56&gt;0,E56&gt;0),(D56/E56)+G56,0)</f>
        <v/>
      </c>
      <c r="R56" s="45">
        <f>IF(B56="SELL",Q56*F56,0)</f>
        <v/>
      </c>
      <c r="S56" s="24">
        <f>S55+R56</f>
        <v/>
      </c>
    </row>
    <row r="57" ht="15.75" customHeight="1" s="94">
      <c r="A57" s="46" t="n">
        <v>56</v>
      </c>
      <c r="B57" s="47" t="inlineStr">
        <is>
          <t>SELL</t>
        </is>
      </c>
      <c r="C57" s="48" t="n">
        <v>46033</v>
      </c>
      <c r="D57" s="49" t="n">
        <v>15000</v>
      </c>
      <c r="E57" s="50" t="n">
        <v>912.9400000000001</v>
      </c>
      <c r="F57" s="50" t="n">
        <v>912.9400000000001</v>
      </c>
      <c r="G57" s="51" t="n">
        <v>-15.62</v>
      </c>
      <c r="H57" s="51" t="n"/>
      <c r="I57" s="30" t="n">
        <v>2152.24</v>
      </c>
      <c r="J57" s="51" t="n">
        <v>502</v>
      </c>
      <c r="K57" s="52">
        <f>IF(AND(B57="SELL",E57&gt;0,J57&lt;&gt;""),J57/E57,0)</f>
        <v/>
      </c>
      <c r="L57" s="52" t="n">
        <v>0.523</v>
      </c>
      <c r="M57" s="50">
        <f>IF(AND(B57="SELL",L57&gt;0),D57*L57,0)</f>
        <v/>
      </c>
      <c r="N57" s="46" t="n"/>
      <c r="O57" s="53">
        <f>IF(AND(B57="SELL",G57&lt;&gt;0),Q57/ABS(G57),0)</f>
        <v/>
      </c>
      <c r="P57" s="53">
        <f>IF(AND(B57="SELL",D57&gt;0),R57/D57,0)</f>
        <v/>
      </c>
      <c r="Q57" s="54">
        <f>IF(AND(B57="SELL",D57&gt;0,E57&gt;0),(D57/E57)+G57,0)</f>
        <v/>
      </c>
      <c r="R57" s="55">
        <f>IF(B57="SELL",Q57*F57,0)</f>
        <v/>
      </c>
      <c r="S57" s="35">
        <f>S56+R57</f>
        <v/>
      </c>
    </row>
    <row r="58" ht="15.75" customHeight="1" s="94">
      <c r="A58" s="36" t="n">
        <v>57</v>
      </c>
      <c r="B58" s="37" t="inlineStr">
        <is>
          <t>SELL</t>
        </is>
      </c>
      <c r="C58" s="38" t="n">
        <v>46033</v>
      </c>
      <c r="D58" s="39" t="n">
        <v>15000</v>
      </c>
      <c r="E58" s="40" t="n">
        <v>912.9400000000001</v>
      </c>
      <c r="F58" s="40" t="n">
        <v>912.9400000000001</v>
      </c>
      <c r="G58" s="41" t="n">
        <v>-16.3</v>
      </c>
      <c r="H58" s="41" t="n"/>
      <c r="I58" s="19" t="n">
        <v>2135.94</v>
      </c>
      <c r="J58" s="41" t="n">
        <v>481</v>
      </c>
      <c r="K58" s="42">
        <f>IF(AND(B58="SELL",E58&gt;0,J58&lt;&gt;""),J58/E58,0)</f>
        <v/>
      </c>
      <c r="L58" s="42" t="n">
        <v>0.523</v>
      </c>
      <c r="M58" s="40">
        <f>IF(AND(B58="SELL",L58&gt;0),D58*L58,0)</f>
        <v/>
      </c>
      <c r="N58" s="36" t="n"/>
      <c r="O58" s="43">
        <f>IF(AND(B58="SELL",G58&lt;&gt;0),Q58/ABS(G58),0)</f>
        <v/>
      </c>
      <c r="P58" s="43">
        <f>IF(AND(B58="SELL",D58&gt;0),R58/D58,0)</f>
        <v/>
      </c>
      <c r="Q58" s="44">
        <f>IF(AND(B58="SELL",D58&gt;0,E58&gt;0),(D58/E58)+G58,0)</f>
        <v/>
      </c>
      <c r="R58" s="45">
        <f>IF(B58="SELL",Q58*F58,0)</f>
        <v/>
      </c>
      <c r="S58" s="24">
        <f>S57+R58</f>
        <v/>
      </c>
    </row>
    <row r="59" ht="15.75" customHeight="1" s="94">
      <c r="A59" s="46" t="n">
        <v>58</v>
      </c>
      <c r="B59" s="47" t="inlineStr">
        <is>
          <t>SELL</t>
        </is>
      </c>
      <c r="C59" s="48" t="n">
        <v>46033</v>
      </c>
      <c r="D59" s="49" t="n">
        <v>30000</v>
      </c>
      <c r="E59" s="50" t="n">
        <v>912.9400000000001</v>
      </c>
      <c r="F59" s="50" t="n">
        <v>912.9400000000001</v>
      </c>
      <c r="G59" s="51" t="n">
        <v>-31.82</v>
      </c>
      <c r="H59" s="51" t="n"/>
      <c r="I59" s="30" t="n">
        <v>2104.12</v>
      </c>
      <c r="J59" s="51" t="n">
        <v>492.95</v>
      </c>
      <c r="K59" s="52">
        <f>IF(AND(B59="SELL",E59&gt;0,J59&lt;&gt;""),J59/E59,0)</f>
        <v/>
      </c>
      <c r="L59" s="52" t="n">
        <v>0.523</v>
      </c>
      <c r="M59" s="50">
        <f>IF(AND(B59="SELL",L59&gt;0),D59*L59,0)</f>
        <v/>
      </c>
      <c r="N59" s="46" t="n"/>
      <c r="O59" s="53">
        <f>IF(AND(B59="SELL",G59&lt;&gt;0),Q59/ABS(G59),0)</f>
        <v/>
      </c>
      <c r="P59" s="53">
        <f>IF(AND(B59="SELL",D59&gt;0),R59/D59,0)</f>
        <v/>
      </c>
      <c r="Q59" s="54">
        <f>IF(AND(B59="SELL",D59&gt;0,E59&gt;0),(D59/E59)+G59,0)</f>
        <v/>
      </c>
      <c r="R59" s="55">
        <f>IF(B59="SELL",Q59*F59,0)</f>
        <v/>
      </c>
      <c r="S59" s="35">
        <f>S58+R59</f>
        <v/>
      </c>
    </row>
    <row r="60" ht="15.75" customHeight="1" s="94">
      <c r="A60" s="36" t="n">
        <v>59</v>
      </c>
      <c r="B60" s="37" t="inlineStr">
        <is>
          <t>SELL</t>
        </is>
      </c>
      <c r="C60" s="38" t="n">
        <v>46034</v>
      </c>
      <c r="D60" s="39" t="n">
        <v>50000</v>
      </c>
      <c r="E60" s="40" t="n">
        <v>912.9400000000001</v>
      </c>
      <c r="F60" s="40" t="n">
        <v>912.9400000000001</v>
      </c>
      <c r="G60" s="41" t="n">
        <v>-51.97</v>
      </c>
      <c r="H60" s="41" t="n"/>
      <c r="I60" s="19" t="n">
        <v>2052.15</v>
      </c>
      <c r="J60" s="41" t="n">
        <v>500.2</v>
      </c>
      <c r="K60" s="42">
        <f>IF(AND(B60="SELL",E60&gt;0,J60&lt;&gt;""),J60/E60,0)</f>
        <v/>
      </c>
      <c r="L60" s="42" t="n">
        <v>0.52</v>
      </c>
      <c r="M60" s="40">
        <f>IF(AND(B60="SELL",L60&gt;0),D60*L60,0)</f>
        <v/>
      </c>
      <c r="N60" s="36" t="n"/>
      <c r="O60" s="43">
        <f>IF(AND(B60="SELL",G60&lt;&gt;0),Q60/ABS(G60),0)</f>
        <v/>
      </c>
      <c r="P60" s="43">
        <f>IF(AND(B60="SELL",D60&gt;0),R60/D60,0)</f>
        <v/>
      </c>
      <c r="Q60" s="44">
        <f>IF(AND(B60="SELL",D60&gt;0,E60&gt;0),(D60/E60)+G60,0)</f>
        <v/>
      </c>
      <c r="R60" s="45">
        <f>IF(B60="SELL",Q60*F60,0)</f>
        <v/>
      </c>
      <c r="S60" s="24">
        <f>S59+R60</f>
        <v/>
      </c>
    </row>
    <row r="61" ht="15.75" customHeight="1" s="94">
      <c r="A61" s="46" t="n">
        <v>60</v>
      </c>
      <c r="B61" s="47" t="inlineStr">
        <is>
          <t>SELL</t>
        </is>
      </c>
      <c r="C61" s="48" t="n">
        <v>46034</v>
      </c>
      <c r="D61" s="49" t="n">
        <v>80500</v>
      </c>
      <c r="E61" s="50" t="n">
        <v>912.9400000000001</v>
      </c>
      <c r="F61" s="50" t="n">
        <v>912.9400000000001</v>
      </c>
      <c r="G61" s="51" t="n">
        <v>-79.79000000000001</v>
      </c>
      <c r="H61" s="51" t="n"/>
      <c r="I61" s="30" t="n">
        <v>1972.36</v>
      </c>
      <c r="J61" s="51" t="n">
        <v>524.5</v>
      </c>
      <c r="K61" s="52">
        <f>IF(AND(B61="SELL",E61&gt;0,J61&lt;&gt;""),J61/E61,0)</f>
        <v/>
      </c>
      <c r="L61" s="52" t="n">
        <v>0.52</v>
      </c>
      <c r="M61" s="50">
        <f>IF(AND(B61="SELL",L61&gt;0),D61*L61,0)</f>
        <v/>
      </c>
      <c r="N61" s="46" t="n"/>
      <c r="O61" s="53">
        <f>IF(AND(B61="SELL",G61&lt;&gt;0),Q61/ABS(G61),0)</f>
        <v/>
      </c>
      <c r="P61" s="53">
        <f>IF(AND(B61="SELL",D61&gt;0),R61/D61,0)</f>
        <v/>
      </c>
      <c r="Q61" s="54">
        <f>IF(AND(B61="SELL",D61&gt;0,E61&gt;0),(D61/E61)+G61,0)</f>
        <v/>
      </c>
      <c r="R61" s="55">
        <f>IF(B61="SELL",Q61*F61,0)</f>
        <v/>
      </c>
      <c r="S61" s="35">
        <f>S60+R61</f>
        <v/>
      </c>
    </row>
    <row r="62" ht="15.75" customHeight="1" s="94">
      <c r="A62" s="36" t="n">
        <v>61</v>
      </c>
      <c r="B62" s="37" t="inlineStr">
        <is>
          <t>SELL</t>
        </is>
      </c>
      <c r="C62" s="38" t="n">
        <v>46034</v>
      </c>
      <c r="D62" s="39" t="n">
        <v>50000</v>
      </c>
      <c r="E62" s="40" t="n">
        <v>912.9400000000001</v>
      </c>
      <c r="F62" s="40" t="n">
        <v>912.9400000000001</v>
      </c>
      <c r="G62" s="41" t="n">
        <v>-49.74</v>
      </c>
      <c r="H62" s="41" t="n"/>
      <c r="I62" s="19" t="n">
        <v>1922.62</v>
      </c>
      <c r="J62" s="41" t="n">
        <v>522.7</v>
      </c>
      <c r="K62" s="42">
        <f>IF(AND(B62="SELL",E62&gt;0,J62&lt;&gt;""),J62/E62,0)</f>
        <v/>
      </c>
      <c r="L62" s="42" t="n">
        <v>0.52</v>
      </c>
      <c r="M62" s="40">
        <f>IF(AND(B62="SELL",L62&gt;0),D62*L62,0)</f>
        <v/>
      </c>
      <c r="N62" s="36" t="n"/>
      <c r="O62" s="43">
        <f>IF(AND(B62="SELL",G62&lt;&gt;0),Q62/ABS(G62),0)</f>
        <v/>
      </c>
      <c r="P62" s="43">
        <f>IF(AND(B62="SELL",D62&gt;0),R62/D62,0)</f>
        <v/>
      </c>
      <c r="Q62" s="44">
        <f>IF(AND(B62="SELL",D62&gt;0,E62&gt;0),(D62/E62)+G62,0)</f>
        <v/>
      </c>
      <c r="R62" s="45">
        <f>IF(B62="SELL",Q62*F62,0)</f>
        <v/>
      </c>
      <c r="S62" s="24">
        <f>S61+R62</f>
        <v/>
      </c>
    </row>
    <row r="63" ht="15.75" customHeight="1" s="94">
      <c r="A63" s="46" t="n">
        <v>62</v>
      </c>
      <c r="B63" s="47" t="inlineStr">
        <is>
          <t>SELL</t>
        </is>
      </c>
      <c r="C63" s="48" t="n">
        <v>46034</v>
      </c>
      <c r="D63" s="49" t="n">
        <v>43500</v>
      </c>
      <c r="E63" s="50" t="n">
        <v>912.9400000000001</v>
      </c>
      <c r="F63" s="50" t="n">
        <v>912.9400000000001</v>
      </c>
      <c r="G63" s="51" t="n">
        <v>-43</v>
      </c>
      <c r="H63" s="51" t="n"/>
      <c r="I63" s="30" t="n">
        <v>1879.62</v>
      </c>
      <c r="J63" s="51" t="n">
        <v>532</v>
      </c>
      <c r="K63" s="52">
        <f>IF(AND(B63="SELL",E63&gt;0,J63&lt;&gt;""),J63/E63,0)</f>
        <v/>
      </c>
      <c r="L63" s="52" t="n">
        <v>0.52</v>
      </c>
      <c r="M63" s="50">
        <f>IF(AND(B63="SELL",L63&gt;0),D63*L63,0)</f>
        <v/>
      </c>
      <c r="N63" s="46" t="n"/>
      <c r="O63" s="53">
        <f>IF(AND(B63="SELL",G63&lt;&gt;0),Q63/ABS(G63),0)</f>
        <v/>
      </c>
      <c r="P63" s="53">
        <f>IF(AND(B63="SELL",D63&gt;0),R63/D63,0)</f>
        <v/>
      </c>
      <c r="Q63" s="54">
        <f>IF(AND(B63="SELL",D63&gt;0,E63&gt;0),(D63/E63)+G63,0)</f>
        <v/>
      </c>
      <c r="R63" s="55">
        <f>IF(B63="SELL",Q63*F63,0)</f>
        <v/>
      </c>
      <c r="S63" s="35">
        <f>S62+R63</f>
        <v/>
      </c>
    </row>
    <row r="64" ht="15.75" customHeight="1" s="94">
      <c r="A64" s="36" t="n">
        <v>63</v>
      </c>
      <c r="B64" s="37" t="inlineStr">
        <is>
          <t>SELL</t>
        </is>
      </c>
      <c r="C64" s="38" t="n">
        <v>46034</v>
      </c>
      <c r="D64" s="39" t="n">
        <v>47000</v>
      </c>
      <c r="E64" s="40" t="n">
        <v>912.9400000000001</v>
      </c>
      <c r="F64" s="40" t="n">
        <v>912.9400000000001</v>
      </c>
      <c r="G64" s="41" t="n">
        <v>-45.13</v>
      </c>
      <c r="H64" s="41" t="n"/>
      <c r="I64" s="19" t="n">
        <v>1834.49</v>
      </c>
      <c r="J64" s="41" t="n">
        <v>541.5</v>
      </c>
      <c r="K64" s="42">
        <f>IF(AND(B64="SELL",E64&gt;0,J64&lt;&gt;""),J64/E64,0)</f>
        <v/>
      </c>
      <c r="L64" s="42" t="n">
        <v>0.52</v>
      </c>
      <c r="M64" s="40">
        <f>IF(AND(B64="SELL",L64&gt;0),D64*L64,0)</f>
        <v/>
      </c>
      <c r="N64" s="36" t="n"/>
      <c r="O64" s="43">
        <f>IF(AND(B64="SELL",G64&lt;&gt;0),Q64/ABS(G64),0)</f>
        <v/>
      </c>
      <c r="P64" s="43">
        <f>IF(AND(B64="SELL",D64&gt;0),R64/D64,0)</f>
        <v/>
      </c>
      <c r="Q64" s="44">
        <f>IF(AND(B64="SELL",D64&gt;0,E64&gt;0),(D64/E64)+G64,0)</f>
        <v/>
      </c>
      <c r="R64" s="45">
        <f>IF(B64="SELL",Q64*F64,0)</f>
        <v/>
      </c>
      <c r="S64" s="24">
        <f>S63+R64</f>
        <v/>
      </c>
    </row>
    <row r="65" ht="15.75" customHeight="1" s="94">
      <c r="A65" s="46" t="n">
        <v>64</v>
      </c>
      <c r="B65" s="47" t="inlineStr">
        <is>
          <t>SELL</t>
        </is>
      </c>
      <c r="C65" s="48" t="n">
        <v>46035</v>
      </c>
      <c r="D65" s="49" t="n">
        <v>133500</v>
      </c>
      <c r="E65" s="50" t="n">
        <v>912.9400000000001</v>
      </c>
      <c r="F65" s="50" t="n">
        <v>912.9400000000001</v>
      </c>
      <c r="G65" s="51" t="n">
        <v>-130.02</v>
      </c>
      <c r="H65" s="51" t="n"/>
      <c r="I65" s="30" t="n">
        <v>1704.47</v>
      </c>
      <c r="J65" s="51" t="n">
        <v>581</v>
      </c>
      <c r="K65" s="52">
        <f>IF(AND(B65="SELL",E65&gt;0,J65&lt;&gt;""),J65/E65,0)</f>
        <v/>
      </c>
      <c r="L65" s="52" t="n">
        <v>0.5679999999999999</v>
      </c>
      <c r="M65" s="50">
        <f>IF(AND(B65="SELL",L65&gt;0),D65*L65,0)</f>
        <v/>
      </c>
      <c r="N65" s="46" t="n"/>
      <c r="O65" s="53">
        <f>IF(AND(B65="SELL",G65&lt;&gt;0),Q65/ABS(G65),0)</f>
        <v/>
      </c>
      <c r="P65" s="53">
        <f>IF(AND(B65="SELL",D65&gt;0),R65/D65,0)</f>
        <v/>
      </c>
      <c r="Q65" s="54">
        <f>IF(AND(B65="SELL",D65&gt;0,E65&gt;0),(D65/E65)+G65,0)</f>
        <v/>
      </c>
      <c r="R65" s="55">
        <f>IF(B65="SELL",Q65*F65,0)</f>
        <v/>
      </c>
      <c r="S65" s="35">
        <f>S64+R65</f>
        <v/>
      </c>
    </row>
    <row r="66" ht="15.75" customHeight="1" s="94">
      <c r="A66" s="36" t="n">
        <v>65</v>
      </c>
      <c r="B66" s="37" t="inlineStr">
        <is>
          <t>SELL</t>
        </is>
      </c>
      <c r="C66" s="38" t="n">
        <v>46035</v>
      </c>
      <c r="D66" s="39" t="n">
        <v>15000</v>
      </c>
      <c r="E66" s="40" t="n">
        <v>912.9400000000001</v>
      </c>
      <c r="F66" s="40" t="n">
        <v>912.9400000000001</v>
      </c>
      <c r="G66" s="41" t="n">
        <v>-15.13</v>
      </c>
      <c r="H66" s="41" t="n"/>
      <c r="I66" s="19" t="n">
        <v>1689.34</v>
      </c>
      <c r="J66" s="41" t="n">
        <v>563.1</v>
      </c>
      <c r="K66" s="42">
        <f>IF(AND(B66="SELL",E66&gt;0,J66&lt;&gt;""),J66/E66,0)</f>
        <v/>
      </c>
      <c r="L66" s="42" t="n">
        <v>0.5679999999999999</v>
      </c>
      <c r="M66" s="40">
        <f>IF(AND(B66="SELL",L66&gt;0),D66*L66,0)</f>
        <v/>
      </c>
      <c r="N66" s="36" t="n"/>
      <c r="O66" s="43">
        <f>IF(AND(B66="SELL",G66&lt;&gt;0),Q66/ABS(G66),0)</f>
        <v/>
      </c>
      <c r="P66" s="43">
        <f>IF(AND(B66="SELL",D66&gt;0),R66/D66,0)</f>
        <v/>
      </c>
      <c r="Q66" s="44">
        <f>IF(AND(B66="SELL",D66&gt;0,E66&gt;0),(D66/E66)+G66,0)</f>
        <v/>
      </c>
      <c r="R66" s="45">
        <f>IF(B66="SELL",Q66*F66,0)</f>
        <v/>
      </c>
      <c r="S66" s="24">
        <f>S65+R66</f>
        <v/>
      </c>
    </row>
    <row r="67" ht="15.75" customHeight="1" s="94">
      <c r="A67" s="46" t="n">
        <v>66</v>
      </c>
      <c r="B67" s="47" t="inlineStr">
        <is>
          <t>SELL</t>
        </is>
      </c>
      <c r="C67" s="48" t="n">
        <v>46036</v>
      </c>
      <c r="D67" s="49" t="n">
        <v>20000</v>
      </c>
      <c r="E67" s="50" t="n">
        <v>912.9400000000001</v>
      </c>
      <c r="F67" s="50" t="n">
        <v>912.9400000000001</v>
      </c>
      <c r="G67" s="51" t="n">
        <v>-20.12</v>
      </c>
      <c r="H67" s="51" t="n"/>
      <c r="I67" s="30" t="n">
        <v>1669.22</v>
      </c>
      <c r="J67" s="51" t="n">
        <v>594.011</v>
      </c>
      <c r="K67" s="52">
        <f>IF(AND(B67="SELL",E67&gt;0,J67&lt;&gt;""),J67/E67,0)</f>
        <v/>
      </c>
      <c r="L67" s="52" t="n">
        <v>0.594</v>
      </c>
      <c r="M67" s="50">
        <f>IF(AND(B67="SELL",L67&gt;0),D67*L67,0)</f>
        <v/>
      </c>
      <c r="N67" s="46" t="n"/>
      <c r="O67" s="53">
        <f>IF(AND(B67="SELL",G67&lt;&gt;0),Q67/ABS(G67),0)</f>
        <v/>
      </c>
      <c r="P67" s="53">
        <f>IF(AND(B67="SELL",D67&gt;0),R67/D67,0)</f>
        <v/>
      </c>
      <c r="Q67" s="54">
        <f>IF(AND(B67="SELL",D67&gt;0,E67&gt;0),(D67/E67)+G67,0)</f>
        <v/>
      </c>
      <c r="R67" s="55">
        <f>IF(B67="SELL",Q67*F67,0)</f>
        <v/>
      </c>
      <c r="S67" s="35">
        <f>S66+R67</f>
        <v/>
      </c>
    </row>
    <row r="68" ht="15.75" customHeight="1" s="94">
      <c r="A68" s="36" t="n">
        <v>67</v>
      </c>
      <c r="B68" s="37" t="inlineStr">
        <is>
          <t>SELL</t>
        </is>
      </c>
      <c r="C68" s="38" t="n">
        <v>46036</v>
      </c>
      <c r="D68" s="39" t="n">
        <v>13000</v>
      </c>
      <c r="E68" s="40" t="n">
        <v>912.9400000000001</v>
      </c>
      <c r="F68" s="40" t="n">
        <v>912.9400000000001</v>
      </c>
      <c r="G68" s="41" t="n">
        <v>-13.89</v>
      </c>
      <c r="H68" s="41" t="n"/>
      <c r="I68" s="19" t="n">
        <v>1655.33</v>
      </c>
      <c r="J68" s="41" t="n">
        <v>586.4</v>
      </c>
      <c r="K68" s="42">
        <f>IF(AND(B68="SELL",E68&gt;0,J68&lt;&gt;""),J68/E68,0)</f>
        <v/>
      </c>
      <c r="L68" s="42" t="n">
        <v>0.62</v>
      </c>
      <c r="M68" s="40">
        <f>IF(AND(B68="SELL",L68&gt;0),D68*L68,0)</f>
        <v/>
      </c>
      <c r="N68" s="36" t="n"/>
      <c r="O68" s="43">
        <f>IF(AND(B68="SELL",G68&lt;&gt;0),Q68/ABS(G68),0)</f>
        <v/>
      </c>
      <c r="P68" s="43">
        <f>IF(AND(B68="SELL",D68&gt;0),R68/D68,0)</f>
        <v/>
      </c>
      <c r="Q68" s="44">
        <f>IF(AND(B68="SELL",D68&gt;0,E68&gt;0),(D68/E68)+G68,0)</f>
        <v/>
      </c>
      <c r="R68" s="45">
        <f>IF(B68="SELL",Q68*F68,0)</f>
        <v/>
      </c>
      <c r="S68" s="24">
        <f>S67+R68</f>
        <v/>
      </c>
    </row>
    <row r="69" ht="15.75" customHeight="1" s="94">
      <c r="A69" s="46" t="n">
        <v>68</v>
      </c>
      <c r="B69" s="47" t="inlineStr">
        <is>
          <t>SELL</t>
        </is>
      </c>
      <c r="C69" s="48" t="n">
        <v>46036</v>
      </c>
      <c r="D69" s="49" t="n">
        <v>100000</v>
      </c>
      <c r="E69" s="50" t="n">
        <v>912.9400000000001</v>
      </c>
      <c r="F69" s="50" t="n">
        <v>912.9400000000001</v>
      </c>
      <c r="G69" s="51" t="n">
        <v>-104.09</v>
      </c>
      <c r="H69" s="51" t="n"/>
      <c r="I69" s="30" t="n">
        <v>1551.24</v>
      </c>
      <c r="J69" s="51" t="n">
        <v>595.601</v>
      </c>
      <c r="K69" s="52">
        <f>IF(AND(B69="SELL",E69&gt;0,J69&lt;&gt;""),J69/E69,0)</f>
        <v/>
      </c>
      <c r="L69" s="52" t="n">
        <v>0.62</v>
      </c>
      <c r="M69" s="50">
        <f>IF(AND(B69="SELL",L69&gt;0),D69*L69,0)</f>
        <v/>
      </c>
      <c r="N69" s="46" t="n"/>
      <c r="O69" s="53">
        <f>IF(AND(B69="SELL",G69&lt;&gt;0),Q69/ABS(G69),0)</f>
        <v/>
      </c>
      <c r="P69" s="53">
        <f>IF(AND(B69="SELL",D69&gt;0),R69/D69,0)</f>
        <v/>
      </c>
      <c r="Q69" s="54">
        <f>IF(AND(B69="SELL",D69&gt;0,E69&gt;0),(D69/E69)+G69,0)</f>
        <v/>
      </c>
      <c r="R69" s="55">
        <f>IF(B69="SELL",Q69*F69,0)</f>
        <v/>
      </c>
      <c r="S69" s="35">
        <f>S68+R69</f>
        <v/>
      </c>
    </row>
    <row r="70" ht="15.75" customHeight="1" s="94">
      <c r="A70" s="36" t="n">
        <v>69</v>
      </c>
      <c r="B70" s="37" t="inlineStr">
        <is>
          <t>SELL</t>
        </is>
      </c>
      <c r="C70" s="38" t="n">
        <v>46036</v>
      </c>
      <c r="D70" s="39" t="n">
        <v>100000</v>
      </c>
      <c r="E70" s="40" t="n">
        <v>912.9400000000001</v>
      </c>
      <c r="F70" s="40" t="n">
        <v>912.9400000000001</v>
      </c>
      <c r="G70" s="41" t="n">
        <v>-104.17</v>
      </c>
      <c r="H70" s="41" t="n"/>
      <c r="I70" s="19" t="n">
        <v>1447.07</v>
      </c>
      <c r="J70" s="41" t="n">
        <v>595.16</v>
      </c>
      <c r="K70" s="42">
        <f>IF(AND(B70="SELL",E70&gt;0,J70&lt;&gt;""),J70/E70,0)</f>
        <v/>
      </c>
      <c r="L70" s="42" t="n">
        <v>0.62</v>
      </c>
      <c r="M70" s="40">
        <f>IF(AND(B70="SELL",L70&gt;0),D70*L70,0)</f>
        <v/>
      </c>
      <c r="N70" s="36" t="n"/>
      <c r="O70" s="43">
        <f>IF(AND(B70="SELL",G70&lt;&gt;0),Q70/ABS(G70),0)</f>
        <v/>
      </c>
      <c r="P70" s="43">
        <f>IF(AND(B70="SELL",D70&gt;0),R70/D70,0)</f>
        <v/>
      </c>
      <c r="Q70" s="44">
        <f>IF(AND(B70="SELL",D70&gt;0,E70&gt;0),(D70/E70)+G70,0)</f>
        <v/>
      </c>
      <c r="R70" s="45">
        <f>IF(B70="SELL",Q70*F70,0)</f>
        <v/>
      </c>
      <c r="S70" s="24">
        <f>S69+R70</f>
        <v/>
      </c>
    </row>
    <row r="71" ht="15.75" customHeight="1" s="94">
      <c r="A71" s="46" t="n">
        <v>70</v>
      </c>
      <c r="B71" s="47" t="inlineStr">
        <is>
          <t>SELL</t>
        </is>
      </c>
      <c r="C71" s="48" t="n">
        <v>46036</v>
      </c>
      <c r="D71" s="49" t="n">
        <v>40000</v>
      </c>
      <c r="E71" s="50" t="n">
        <v>912.9400000000001</v>
      </c>
      <c r="F71" s="50" t="n">
        <v>912.9400000000001</v>
      </c>
      <c r="G71" s="51" t="n">
        <v>-41.66</v>
      </c>
      <c r="H71" s="51" t="n"/>
      <c r="I71" s="30" t="n">
        <v>1405.41</v>
      </c>
      <c r="J71" s="51" t="n">
        <v>595.271</v>
      </c>
      <c r="K71" s="52">
        <f>IF(AND(B71="SELL",E71&gt;0,J71&lt;&gt;""),J71/E71,0)</f>
        <v/>
      </c>
      <c r="L71" s="52" t="n">
        <v>0.62</v>
      </c>
      <c r="M71" s="50">
        <f>IF(AND(B71="SELL",L71&gt;0),D71*L71,0)</f>
        <v/>
      </c>
      <c r="N71" s="46" t="n"/>
      <c r="O71" s="53">
        <f>IF(AND(B71="SELL",G71&lt;&gt;0),Q71/ABS(G71),0)</f>
        <v/>
      </c>
      <c r="P71" s="53">
        <f>IF(AND(B71="SELL",D71&gt;0),R71/D71,0)</f>
        <v/>
      </c>
      <c r="Q71" s="54">
        <f>IF(AND(B71="SELL",D71&gt;0,E71&gt;0),(D71/E71)+G71,0)</f>
        <v/>
      </c>
      <c r="R71" s="55">
        <f>IF(B71="SELL",Q71*F71,0)</f>
        <v/>
      </c>
      <c r="S71" s="35">
        <f>S70+R71</f>
        <v/>
      </c>
    </row>
    <row r="72" ht="15.75" customHeight="1" s="94">
      <c r="A72" s="36" t="n">
        <v>71</v>
      </c>
      <c r="B72" s="37" t="inlineStr">
        <is>
          <t>SELL</t>
        </is>
      </c>
      <c r="C72" s="38" t="n">
        <v>46036</v>
      </c>
      <c r="D72" s="39" t="n">
        <v>60000</v>
      </c>
      <c r="E72" s="40" t="n">
        <v>912.9400000000001</v>
      </c>
      <c r="F72" s="40" t="n">
        <v>912.9400000000001</v>
      </c>
      <c r="G72" s="41" t="n">
        <v>-62.62</v>
      </c>
      <c r="H72" s="41" t="n"/>
      <c r="I72" s="19" t="n">
        <v>1342.79</v>
      </c>
      <c r="J72" s="41" t="n"/>
      <c r="K72" s="42">
        <f>IF(AND(B72="SELL",E72&gt;0,J72&lt;&gt;""),J72/E72,0)</f>
        <v/>
      </c>
      <c r="L72" s="42" t="n">
        <v>0.62</v>
      </c>
      <c r="M72" s="40">
        <f>IF(AND(B72="SELL",L72&gt;0),D72*L72,0)</f>
        <v/>
      </c>
      <c r="N72" s="36" t="inlineStr">
        <is>
          <t>agregado</t>
        </is>
      </c>
      <c r="O72" s="43">
        <f>IF(AND(B72="SELL",G72&lt;&gt;0),Q72/ABS(G72),0)</f>
        <v/>
      </c>
      <c r="P72" s="43">
        <f>IF(AND(B72="SELL",D72&gt;0),R72/D72,0)</f>
        <v/>
      </c>
      <c r="Q72" s="44">
        <f>IF(AND(B72="SELL",D72&gt;0,E72&gt;0),(D72/E72)+G72,0)</f>
        <v/>
      </c>
      <c r="R72" s="45">
        <f>IF(B72="SELL",Q72*F72,0)</f>
        <v/>
      </c>
      <c r="S72" s="24">
        <f>S71+R72</f>
        <v/>
      </c>
    </row>
    <row r="73" ht="15.75" customHeight="1" s="94">
      <c r="A73" s="46" t="n">
        <v>72</v>
      </c>
      <c r="B73" s="47" t="inlineStr">
        <is>
          <t>SELL</t>
        </is>
      </c>
      <c r="C73" s="48" t="n">
        <v>46036</v>
      </c>
      <c r="D73" s="49" t="n">
        <v>100000</v>
      </c>
      <c r="E73" s="50" t="n">
        <v>912.9400000000001</v>
      </c>
      <c r="F73" s="50" t="n">
        <v>912.9400000000001</v>
      </c>
      <c r="G73" s="51" t="n">
        <v>-104.85</v>
      </c>
      <c r="H73" s="51" t="n"/>
      <c r="I73" s="30" t="n">
        <v>1237.94</v>
      </c>
      <c r="J73" s="51" t="n"/>
      <c r="K73" s="52">
        <f>IF(AND(B73="SELL",E73&gt;0,J73&lt;&gt;""),J73/E73,0)</f>
        <v/>
      </c>
      <c r="L73" s="52" t="n">
        <v>0.62</v>
      </c>
      <c r="M73" s="50">
        <f>IF(AND(B73="SELL",L73&gt;0),D73*L73,0)</f>
        <v/>
      </c>
      <c r="N73" s="46" t="inlineStr">
        <is>
          <t>agregado</t>
        </is>
      </c>
      <c r="O73" s="53">
        <f>IF(AND(B73="SELL",G73&lt;&gt;0),Q73/ABS(G73),0)</f>
        <v/>
      </c>
      <c r="P73" s="53">
        <f>IF(AND(B73="SELL",D73&gt;0),R73/D73,0)</f>
        <v/>
      </c>
      <c r="Q73" s="54">
        <f>IF(AND(B73="SELL",D73&gt;0,E73&gt;0),(D73/E73)+G73,0)</f>
        <v/>
      </c>
      <c r="R73" s="55">
        <f>IF(B73="SELL",Q73*F73,0)</f>
        <v/>
      </c>
      <c r="S73" s="35">
        <f>S72+R73</f>
        <v/>
      </c>
    </row>
    <row r="74" ht="15.75" customHeight="1" s="94">
      <c r="A74" s="36" t="n">
        <v>73</v>
      </c>
      <c r="B74" s="37" t="inlineStr">
        <is>
          <t>SELL</t>
        </is>
      </c>
      <c r="C74" s="38" t="n">
        <v>46036</v>
      </c>
      <c r="D74" s="39" t="n">
        <v>10000</v>
      </c>
      <c r="E74" s="40" t="n">
        <v>912.9400000000001</v>
      </c>
      <c r="F74" s="40" t="n">
        <v>912.9400000000001</v>
      </c>
      <c r="G74" s="41" t="n">
        <v>-10.86</v>
      </c>
      <c r="H74" s="41" t="n"/>
      <c r="I74" s="19" t="n">
        <v>1227.08</v>
      </c>
      <c r="J74" s="41" t="n"/>
      <c r="K74" s="42">
        <f>IF(AND(B74="SELL",E74&gt;0,J74&lt;&gt;""),J74/E74,0)</f>
        <v/>
      </c>
      <c r="L74" s="42" t="n">
        <v>0.62</v>
      </c>
      <c r="M74" s="40">
        <f>IF(AND(B74="SELL",L74&gt;0),D74*L74,0)</f>
        <v/>
      </c>
      <c r="N74" s="36" t="inlineStr">
        <is>
          <t>agregado</t>
        </is>
      </c>
      <c r="O74" s="43">
        <f>IF(AND(B74="SELL",G74&lt;&gt;0),Q74/ABS(G74),0)</f>
        <v/>
      </c>
      <c r="P74" s="43">
        <f>IF(AND(B74="SELL",D74&gt;0),R74/D74,0)</f>
        <v/>
      </c>
      <c r="Q74" s="44">
        <f>IF(AND(B74="SELL",D74&gt;0,E74&gt;0),(D74/E74)+G74,0)</f>
        <v/>
      </c>
      <c r="R74" s="45">
        <f>IF(B74="SELL",Q74*F74,0)</f>
        <v/>
      </c>
      <c r="S74" s="24">
        <f>S73+R74</f>
        <v/>
      </c>
    </row>
    <row r="75" ht="15.75" customHeight="1" s="94">
      <c r="A75" s="46" t="n">
        <v>74</v>
      </c>
      <c r="B75" s="47" t="inlineStr">
        <is>
          <t>SELL</t>
        </is>
      </c>
      <c r="C75" s="48" t="n">
        <v>46036</v>
      </c>
      <c r="D75" s="49" t="n">
        <v>30000</v>
      </c>
      <c r="E75" s="50" t="n">
        <v>912.9400000000001</v>
      </c>
      <c r="F75" s="50" t="n">
        <v>912.9400000000001</v>
      </c>
      <c r="G75" s="51" t="n">
        <v>-32.63</v>
      </c>
      <c r="H75" s="51" t="n"/>
      <c r="I75" s="30" t="n">
        <v>1194.45</v>
      </c>
      <c r="J75" s="51" t="n">
        <v>570</v>
      </c>
      <c r="K75" s="52">
        <f>IF(AND(B75="SELL",E75&gt;0,J75&lt;&gt;""),J75/E75,0)</f>
        <v/>
      </c>
      <c r="L75" s="52" t="n">
        <v>0.62</v>
      </c>
      <c r="M75" s="50">
        <f>IF(AND(B75="SELL",L75&gt;0),D75*L75,0)</f>
        <v/>
      </c>
      <c r="N75" s="46" t="n"/>
      <c r="O75" s="53">
        <f>IF(AND(B75="SELL",G75&lt;&gt;0),Q75/ABS(G75),0)</f>
        <v/>
      </c>
      <c r="P75" s="53">
        <f>IF(AND(B75="SELL",D75&gt;0),R75/D75,0)</f>
        <v/>
      </c>
      <c r="Q75" s="54">
        <f>IF(AND(B75="SELL",D75&gt;0,E75&gt;0),(D75/E75)+G75,0)</f>
        <v/>
      </c>
      <c r="R75" s="55">
        <f>IF(B75="SELL",Q75*F75,0)</f>
        <v/>
      </c>
      <c r="S75" s="35">
        <f>S74+R75</f>
        <v/>
      </c>
    </row>
    <row r="76" ht="15.75" customHeight="1" s="94">
      <c r="A76" s="36" t="n">
        <v>75</v>
      </c>
      <c r="B76" s="37" t="inlineStr">
        <is>
          <t>SELL</t>
        </is>
      </c>
      <c r="C76" s="38" t="n">
        <v>46037</v>
      </c>
      <c r="D76" s="39" t="n">
        <v>20000</v>
      </c>
      <c r="E76" s="40" t="n">
        <v>912.9400000000001</v>
      </c>
      <c r="F76" s="40" t="n">
        <v>912.9400000000001</v>
      </c>
      <c r="G76" s="41" t="n">
        <v>-23.03</v>
      </c>
      <c r="H76" s="41" t="n"/>
      <c r="I76" s="19" t="n">
        <v>1171.42</v>
      </c>
      <c r="J76" s="41" t="n">
        <v>523.499</v>
      </c>
      <c r="K76" s="42">
        <f>IF(AND(B76="SELL",E76&gt;0,J76&lt;&gt;""),J76/E76,0)</f>
        <v/>
      </c>
      <c r="L76" s="42" t="n">
        <v>0.603</v>
      </c>
      <c r="M76" s="40">
        <f>IF(AND(B76="SELL",L76&gt;0),D76*L76,0)</f>
        <v/>
      </c>
      <c r="N76" s="36" t="n"/>
      <c r="O76" s="43">
        <f>IF(AND(B76="SELL",G76&lt;&gt;0),Q76/ABS(G76),0)</f>
        <v/>
      </c>
      <c r="P76" s="43">
        <f>IF(AND(B76="SELL",D76&gt;0),R76/D76,0)</f>
        <v/>
      </c>
      <c r="Q76" s="44">
        <f>IF(AND(B76="SELL",D76&gt;0,E76&gt;0),(D76/E76)+G76,0)</f>
        <v/>
      </c>
      <c r="R76" s="45">
        <f>IF(B76="SELL",Q76*F76,0)</f>
        <v/>
      </c>
      <c r="S76" s="24">
        <f>S75+R76</f>
        <v/>
      </c>
    </row>
    <row r="77" ht="15.75" customHeight="1" s="94">
      <c r="A77" s="46" t="n">
        <v>76</v>
      </c>
      <c r="B77" s="47" t="inlineStr">
        <is>
          <t>SELL</t>
        </is>
      </c>
      <c r="C77" s="48" t="n">
        <v>46037</v>
      </c>
      <c r="D77" s="49" t="n">
        <v>20000</v>
      </c>
      <c r="E77" s="50" t="n">
        <v>912.9400000000001</v>
      </c>
      <c r="F77" s="50" t="n">
        <v>912.9400000000001</v>
      </c>
      <c r="G77" s="51" t="n">
        <v>-23.23</v>
      </c>
      <c r="H77" s="51" t="n"/>
      <c r="I77" s="30" t="n">
        <v>1148.19</v>
      </c>
      <c r="J77" s="51" t="n">
        <v>529.1</v>
      </c>
      <c r="K77" s="52">
        <f>IF(AND(B77="SELL",E77&gt;0,J77&lt;&gt;""),J77/E77,0)</f>
        <v/>
      </c>
      <c r="L77" s="52" t="n">
        <v>0.603</v>
      </c>
      <c r="M77" s="50">
        <f>IF(AND(B77="SELL",L77&gt;0),D77*L77,0)</f>
        <v/>
      </c>
      <c r="N77" s="46" t="n"/>
      <c r="O77" s="53">
        <f>IF(AND(B77="SELL",G77&lt;&gt;0),Q77/ABS(G77),0)</f>
        <v/>
      </c>
      <c r="P77" s="53">
        <f>IF(AND(B77="SELL",D77&gt;0),R77/D77,0)</f>
        <v/>
      </c>
      <c r="Q77" s="54">
        <f>IF(AND(B77="SELL",D77&gt;0,E77&gt;0),(D77/E77)+G77,0)</f>
        <v/>
      </c>
      <c r="R77" s="55">
        <f>IF(B77="SELL",Q77*F77,0)</f>
        <v/>
      </c>
      <c r="S77" s="35">
        <f>S76+R77</f>
        <v/>
      </c>
    </row>
    <row r="78" ht="15.75" customHeight="1" s="94">
      <c r="A78" s="36" t="n">
        <v>77</v>
      </c>
      <c r="B78" s="37" t="inlineStr">
        <is>
          <t>SELL</t>
        </is>
      </c>
      <c r="C78" s="38" t="n">
        <v>46037</v>
      </c>
      <c r="D78" s="39" t="n">
        <v>100000</v>
      </c>
      <c r="E78" s="40" t="n">
        <v>912.9400000000001</v>
      </c>
      <c r="F78" s="40" t="n">
        <v>912.9400000000001</v>
      </c>
      <c r="G78" s="41" t="n">
        <v>-114.85</v>
      </c>
      <c r="H78" s="41" t="n"/>
      <c r="I78" s="19" t="n">
        <v>1033.34</v>
      </c>
      <c r="J78" s="41" t="n">
        <v>525</v>
      </c>
      <c r="K78" s="42">
        <f>IF(AND(B78="SELL",E78&gt;0,J78&lt;&gt;""),J78/E78,0)</f>
        <v/>
      </c>
      <c r="L78" s="42" t="n">
        <v>0.603</v>
      </c>
      <c r="M78" s="40">
        <f>IF(AND(B78="SELL",L78&gt;0),D78*L78,0)</f>
        <v/>
      </c>
      <c r="N78" s="36" t="n"/>
      <c r="O78" s="43">
        <f>IF(AND(B78="SELL",G78&lt;&gt;0),Q78/ABS(G78),0)</f>
        <v/>
      </c>
      <c r="P78" s="43">
        <f>IF(AND(B78="SELL",D78&gt;0),R78/D78,0)</f>
        <v/>
      </c>
      <c r="Q78" s="44">
        <f>IF(AND(B78="SELL",D78&gt;0,E78&gt;0),(D78/E78)+G78,0)</f>
        <v/>
      </c>
      <c r="R78" s="45">
        <f>IF(B78="SELL",Q78*F78,0)</f>
        <v/>
      </c>
      <c r="S78" s="24">
        <f>S77+R78</f>
        <v/>
      </c>
    </row>
    <row r="79" ht="15.75" customHeight="1" s="94">
      <c r="A79" s="46" t="n">
        <v>78</v>
      </c>
      <c r="B79" s="47" t="inlineStr">
        <is>
          <t>SELL</t>
        </is>
      </c>
      <c r="C79" s="48" t="n">
        <v>46037</v>
      </c>
      <c r="D79" s="49" t="n">
        <v>14000</v>
      </c>
      <c r="E79" s="50" t="n">
        <v>912.9400000000001</v>
      </c>
      <c r="F79" s="50" t="n">
        <v>912.9400000000001</v>
      </c>
      <c r="G79" s="51" t="n">
        <v>-15.76</v>
      </c>
      <c r="H79" s="51" t="n"/>
      <c r="I79" s="30" t="n">
        <v>1017.58</v>
      </c>
      <c r="J79" s="51" t="n">
        <v>485</v>
      </c>
      <c r="K79" s="52">
        <f>IF(AND(B79="SELL",E79&gt;0,J79&lt;&gt;""),J79/E79,0)</f>
        <v/>
      </c>
      <c r="L79" s="52" t="n">
        <v>0.546</v>
      </c>
      <c r="M79" s="50">
        <f>IF(AND(B79="SELL",L79&gt;0),D79*L79,0)</f>
        <v/>
      </c>
      <c r="N79" s="46" t="n"/>
      <c r="O79" s="53">
        <f>IF(AND(B79="SELL",G79&lt;&gt;0),Q79/ABS(G79),0)</f>
        <v/>
      </c>
      <c r="P79" s="53">
        <f>IF(AND(B79="SELL",D79&gt;0),R79/D79,0)</f>
        <v/>
      </c>
      <c r="Q79" s="54">
        <f>IF(AND(B79="SELL",D79&gt;0,E79&gt;0),(D79/E79)+G79,0)</f>
        <v/>
      </c>
      <c r="R79" s="55">
        <f>IF(B79="SELL",Q79*F79,0)</f>
        <v/>
      </c>
      <c r="S79" s="35">
        <f>S78+R79</f>
        <v/>
      </c>
    </row>
    <row r="80" ht="15.75" customHeight="1" s="94">
      <c r="A80" s="36" t="n">
        <v>79</v>
      </c>
      <c r="B80" s="37" t="inlineStr">
        <is>
          <t>SELL</t>
        </is>
      </c>
      <c r="C80" s="38" t="n">
        <v>46037</v>
      </c>
      <c r="D80" s="39" t="n">
        <v>50000</v>
      </c>
      <c r="E80" s="40" t="n">
        <v>912.9400000000001</v>
      </c>
      <c r="F80" s="40" t="n">
        <v>912.9400000000001</v>
      </c>
      <c r="G80" s="41" t="n">
        <v>-54.9</v>
      </c>
      <c r="H80" s="41" t="n"/>
      <c r="I80" s="19" t="n">
        <v>962.680000000001</v>
      </c>
      <c r="J80" s="41" t="n">
        <v>497.85</v>
      </c>
      <c r="K80" s="42">
        <f>IF(AND(B80="SELL",E80&gt;0,J80&lt;&gt;""),J80/E80,0)</f>
        <v/>
      </c>
      <c r="L80" s="42" t="n">
        <v>0.546</v>
      </c>
      <c r="M80" s="40">
        <f>IF(AND(B80="SELL",L80&gt;0),D80*L80,0)</f>
        <v/>
      </c>
      <c r="N80" s="36" t="n"/>
      <c r="O80" s="43">
        <f>IF(AND(B80="SELL",G80&lt;&gt;0),Q80/ABS(G80),0)</f>
        <v/>
      </c>
      <c r="P80" s="43">
        <f>IF(AND(B80="SELL",D80&gt;0),R80/D80,0)</f>
        <v/>
      </c>
      <c r="Q80" s="44">
        <f>IF(AND(B80="SELL",D80&gt;0,E80&gt;0),(D80/E80)+G80,0)</f>
        <v/>
      </c>
      <c r="R80" s="45">
        <f>IF(B80="SELL",Q80*F80,0)</f>
        <v/>
      </c>
      <c r="S80" s="24">
        <f>S79+R80</f>
        <v/>
      </c>
    </row>
    <row r="81" ht="15.75" customHeight="1" s="94">
      <c r="A81" s="46" t="n">
        <v>80</v>
      </c>
      <c r="B81" s="47" t="inlineStr">
        <is>
          <t>SELL</t>
        </is>
      </c>
      <c r="C81" s="48" t="n">
        <v>46037</v>
      </c>
      <c r="D81" s="49" t="n">
        <v>10000</v>
      </c>
      <c r="E81" s="50" t="n">
        <v>912.9400000000001</v>
      </c>
      <c r="F81" s="50" t="n">
        <v>912.9400000000001</v>
      </c>
      <c r="G81" s="51" t="n">
        <v>-11.58</v>
      </c>
      <c r="H81" s="51" t="n"/>
      <c r="I81" s="30" t="n">
        <v>951.100000000001</v>
      </c>
      <c r="J81" s="51" t="n">
        <v>472.1</v>
      </c>
      <c r="K81" s="52">
        <f>IF(AND(B81="SELL",E81&gt;0,J81&lt;&gt;""),J81/E81,0)</f>
        <v/>
      </c>
      <c r="L81" s="52" t="n">
        <v>0.546</v>
      </c>
      <c r="M81" s="50">
        <f>IF(AND(B81="SELL",L81&gt;0),D81*L81,0)</f>
        <v/>
      </c>
      <c r="N81" s="46" t="n"/>
      <c r="O81" s="53">
        <f>IF(AND(B81="SELL",G81&lt;&gt;0),Q81/ABS(G81),0)</f>
        <v/>
      </c>
      <c r="P81" s="53">
        <f>IF(AND(B81="SELL",D81&gt;0),R81/D81,0)</f>
        <v/>
      </c>
      <c r="Q81" s="54">
        <f>IF(AND(B81="SELL",D81&gt;0,E81&gt;0),(D81/E81)+G81,0)</f>
        <v/>
      </c>
      <c r="R81" s="55">
        <f>IF(B81="SELL",Q81*F81,0)</f>
        <v/>
      </c>
      <c r="S81" s="35">
        <f>S80+R81</f>
        <v/>
      </c>
    </row>
    <row r="82" ht="15.75" customHeight="1" s="94">
      <c r="A82" s="36" t="n">
        <v>81</v>
      </c>
      <c r="B82" s="37" t="inlineStr">
        <is>
          <t>SELL</t>
        </is>
      </c>
      <c r="C82" s="38" t="n">
        <v>46038</v>
      </c>
      <c r="D82" s="39" t="n">
        <v>100000</v>
      </c>
      <c r="E82" s="40" t="n">
        <v>912.9400000000001</v>
      </c>
      <c r="F82" s="40" t="n">
        <v>912.9400000000001</v>
      </c>
      <c r="G82" s="41" t="n">
        <v>-98.27</v>
      </c>
      <c r="H82" s="41" t="n"/>
      <c r="I82" s="19" t="n">
        <v>852.830000000001</v>
      </c>
      <c r="J82" s="41" t="n">
        <v>465</v>
      </c>
      <c r="K82" s="42">
        <f>IF(AND(B82="SELL",E82&gt;0,J82&lt;&gt;""),J82/E82,0)</f>
        <v/>
      </c>
      <c r="L82" s="42" t="n">
        <v>0.457</v>
      </c>
      <c r="M82" s="40">
        <f>IF(AND(B82="SELL",L82&gt;0),D82*L82,0)</f>
        <v/>
      </c>
      <c r="N82" s="36" t="n"/>
      <c r="O82" s="43">
        <f>IF(AND(B82="SELL",G82&lt;&gt;0),Q82/ABS(G82),0)</f>
        <v/>
      </c>
      <c r="P82" s="43">
        <f>IF(AND(B82="SELL",D82&gt;0),R82/D82,0)</f>
        <v/>
      </c>
      <c r="Q82" s="44">
        <f>IF(AND(B82="SELL",D82&gt;0,E82&gt;0),(D82/E82)+G82,0)</f>
        <v/>
      </c>
      <c r="R82" s="45">
        <f>IF(B82="SELL",Q82*F82,0)</f>
        <v/>
      </c>
      <c r="S82" s="24">
        <f>S81+R82</f>
        <v/>
      </c>
    </row>
    <row r="83" ht="15.75" customHeight="1" s="94">
      <c r="A83" s="46" t="n">
        <v>82</v>
      </c>
      <c r="B83" s="47" t="inlineStr">
        <is>
          <t>SELL</t>
        </is>
      </c>
      <c r="C83" s="48" t="n">
        <v>46039</v>
      </c>
      <c r="D83" s="49" t="n">
        <v>50000</v>
      </c>
      <c r="E83" s="50" t="n">
        <v>899</v>
      </c>
      <c r="F83" s="50" t="n">
        <v>899</v>
      </c>
      <c r="G83" s="51" t="n">
        <v>-51.75</v>
      </c>
      <c r="H83" s="51" t="n"/>
      <c r="I83" s="30" t="n">
        <v>801.080000000001</v>
      </c>
      <c r="J83" s="51" t="n">
        <v>452.1</v>
      </c>
      <c r="K83" s="52">
        <f>IF(AND(B83="SELL",E83&gt;0,J83&lt;&gt;""),J83/E83,0)</f>
        <v/>
      </c>
      <c r="L83" s="52" t="n">
        <v>0.468</v>
      </c>
      <c r="M83" s="50">
        <f>IF(AND(B83="SELL",L83&gt;0),D83*L83,0)</f>
        <v/>
      </c>
      <c r="N83" s="46" t="n"/>
      <c r="O83" s="53">
        <f>IF(AND(B83="SELL",G83&lt;&gt;0),Q83/ABS(G83),0)</f>
        <v/>
      </c>
      <c r="P83" s="53">
        <f>IF(AND(B83="SELL",D83&gt;0),R83/D83,0)</f>
        <v/>
      </c>
      <c r="Q83" s="54">
        <f>IF(AND(B83="SELL",D83&gt;0,E83&gt;0),(D83/E83)+G83,0)</f>
        <v/>
      </c>
      <c r="R83" s="55">
        <f>IF(B83="SELL",Q83*F83,0)</f>
        <v/>
      </c>
      <c r="S83" s="35">
        <f>S82+R83</f>
        <v/>
      </c>
    </row>
    <row r="84" ht="15.75" customHeight="1" s="94">
      <c r="A84" s="36" t="n">
        <v>83</v>
      </c>
      <c r="B84" s="37" t="inlineStr">
        <is>
          <t>SELL</t>
        </is>
      </c>
      <c r="C84" s="38" t="n">
        <v>46039</v>
      </c>
      <c r="D84" s="39" t="n">
        <v>20000</v>
      </c>
      <c r="E84" s="40" t="n">
        <v>899</v>
      </c>
      <c r="F84" s="40" t="n">
        <v>899</v>
      </c>
      <c r="G84" s="41" t="n">
        <v>-21.1</v>
      </c>
      <c r="H84" s="41" t="n"/>
      <c r="I84" s="19" t="n">
        <v>779.980000000001</v>
      </c>
      <c r="J84" s="41" t="n">
        <v>443.595</v>
      </c>
      <c r="K84" s="42">
        <f>IF(AND(B84="SELL",E84&gt;0,J84&lt;&gt;""),J84/E84,0)</f>
        <v/>
      </c>
      <c r="L84" s="42" t="n">
        <v>0.468</v>
      </c>
      <c r="M84" s="40">
        <f>IF(AND(B84="SELL",L84&gt;0),D84*L84,0)</f>
        <v/>
      </c>
      <c r="N84" s="36" t="n"/>
      <c r="O84" s="43">
        <f>IF(AND(B84="SELL",G84&lt;&gt;0),Q84/ABS(G84),0)</f>
        <v/>
      </c>
      <c r="P84" s="43">
        <f>IF(AND(B84="SELL",D84&gt;0),R84/D84,0)</f>
        <v/>
      </c>
      <c r="Q84" s="44">
        <f>IF(AND(B84="SELL",D84&gt;0,E84&gt;0),(D84/E84)+G84,0)</f>
        <v/>
      </c>
      <c r="R84" s="45">
        <f>IF(B84="SELL",Q84*F84,0)</f>
        <v/>
      </c>
      <c r="S84" s="24">
        <f>S83+R84</f>
        <v/>
      </c>
    </row>
    <row r="85" ht="15.75" customHeight="1" s="94">
      <c r="A85" s="46" t="n">
        <v>84</v>
      </c>
      <c r="B85" s="47" t="inlineStr">
        <is>
          <t>SELL</t>
        </is>
      </c>
      <c r="C85" s="48" t="n">
        <v>46039</v>
      </c>
      <c r="D85" s="49" t="n">
        <v>36800</v>
      </c>
      <c r="E85" s="50" t="n">
        <v>899</v>
      </c>
      <c r="F85" s="50" t="n">
        <v>899</v>
      </c>
      <c r="G85" s="51" t="n">
        <v>-39.33</v>
      </c>
      <c r="H85" s="51" t="n"/>
      <c r="I85" s="30" t="n">
        <v>740.650000000001</v>
      </c>
      <c r="J85" s="51" t="n">
        <v>437.3</v>
      </c>
      <c r="K85" s="52">
        <f>IF(AND(B85="SELL",E85&gt;0,J85&lt;&gt;""),J85/E85,0)</f>
        <v/>
      </c>
      <c r="L85" s="52" t="n">
        <v>0.468</v>
      </c>
      <c r="M85" s="50">
        <f>IF(AND(B85="SELL",L85&gt;0),D85*L85,0)</f>
        <v/>
      </c>
      <c r="N85" s="46" t="n"/>
      <c r="O85" s="53">
        <f>IF(AND(B85="SELL",G85&lt;&gt;0),Q85/ABS(G85),0)</f>
        <v/>
      </c>
      <c r="P85" s="53">
        <f>IF(AND(B85="SELL",D85&gt;0),R85/D85,0)</f>
        <v/>
      </c>
      <c r="Q85" s="54">
        <f>IF(AND(B85="SELL",D85&gt;0,E85&gt;0),(D85/E85)+G85,0)</f>
        <v/>
      </c>
      <c r="R85" s="55">
        <f>IF(B85="SELL",Q85*F85,0)</f>
        <v/>
      </c>
      <c r="S85" s="35">
        <f>S84+R85</f>
        <v/>
      </c>
    </row>
    <row r="86" ht="15.75" customHeight="1" s="94">
      <c r="A86" s="36" t="n">
        <v>85</v>
      </c>
      <c r="B86" s="37" t="inlineStr">
        <is>
          <t>SELL</t>
        </is>
      </c>
      <c r="C86" s="38" t="n">
        <v>46039</v>
      </c>
      <c r="D86" s="39" t="n">
        <v>22200</v>
      </c>
      <c r="E86" s="40" t="n">
        <v>899</v>
      </c>
      <c r="F86" s="40" t="n">
        <v>899</v>
      </c>
      <c r="G86" s="41" t="n">
        <v>-23.9</v>
      </c>
      <c r="H86" s="41" t="n"/>
      <c r="I86" s="19" t="n">
        <v>716.750000000001</v>
      </c>
      <c r="J86" s="41" t="n">
        <v>435.318</v>
      </c>
      <c r="K86" s="42">
        <f>IF(AND(B86="SELL",E86&gt;0,J86&lt;&gt;""),J86/E86,0)</f>
        <v/>
      </c>
      <c r="L86" s="42" t="n">
        <v>0.468</v>
      </c>
      <c r="M86" s="40">
        <f>IF(AND(B86="SELL",L86&gt;0),D86*L86,0)</f>
        <v/>
      </c>
      <c r="N86" s="36" t="n"/>
      <c r="O86" s="43">
        <f>IF(AND(B86="SELL",G86&lt;&gt;0),Q86/ABS(G86),0)</f>
        <v/>
      </c>
      <c r="P86" s="43">
        <f>IF(AND(B86="SELL",D86&gt;0),R86/D86,0)</f>
        <v/>
      </c>
      <c r="Q86" s="44">
        <f>IF(AND(B86="SELL",D86&gt;0,E86&gt;0),(D86/E86)+G86,0)</f>
        <v/>
      </c>
      <c r="R86" s="45">
        <f>IF(B86="SELL",Q86*F86,0)</f>
        <v/>
      </c>
      <c r="S86" s="24">
        <f>S85+R86</f>
        <v/>
      </c>
    </row>
    <row r="87" ht="15.75" customHeight="1" s="94">
      <c r="A87" s="46" t="n">
        <v>86</v>
      </c>
      <c r="B87" s="47" t="inlineStr">
        <is>
          <t>SELL</t>
        </is>
      </c>
      <c r="C87" s="48" t="n">
        <v>46040</v>
      </c>
      <c r="D87" s="49" t="n">
        <v>20000</v>
      </c>
      <c r="E87" s="50" t="n">
        <v>899</v>
      </c>
      <c r="F87" s="50" t="n">
        <v>899</v>
      </c>
      <c r="G87" s="51" t="n">
        <v>-21.16</v>
      </c>
      <c r="H87" s="51" t="n"/>
      <c r="I87" s="30" t="n">
        <v>695.5900000000011</v>
      </c>
      <c r="J87" s="51" t="n">
        <v>446</v>
      </c>
      <c r="K87" s="52">
        <f>IF(AND(B87="SELL",E87&gt;0,J87&lt;&gt;""),J87/E87,0)</f>
        <v/>
      </c>
      <c r="L87" s="52" t="n">
        <v>0.472</v>
      </c>
      <c r="M87" s="50">
        <f>IF(AND(B87="SELL",L87&gt;0),D87*L87,0)</f>
        <v/>
      </c>
      <c r="N87" s="46" t="n"/>
      <c r="O87" s="53">
        <f>IF(AND(B87="SELL",G87&lt;&gt;0),Q87/ABS(G87),0)</f>
        <v/>
      </c>
      <c r="P87" s="53">
        <f>IF(AND(B87="SELL",D87&gt;0),R87/D87,0)</f>
        <v/>
      </c>
      <c r="Q87" s="54">
        <f>IF(AND(B87="SELL",D87&gt;0,E87&gt;0),(D87/E87)+G87,0)</f>
        <v/>
      </c>
      <c r="R87" s="55">
        <f>IF(B87="SELL",Q87*F87,0)</f>
        <v/>
      </c>
      <c r="S87" s="35">
        <f>S86+R87</f>
        <v/>
      </c>
    </row>
    <row r="88" ht="15.75" customHeight="1" s="94">
      <c r="A88" s="36" t="n">
        <v>87</v>
      </c>
      <c r="B88" s="37" t="inlineStr">
        <is>
          <t>SELL</t>
        </is>
      </c>
      <c r="C88" s="38" t="n">
        <v>46040</v>
      </c>
      <c r="D88" s="39" t="n">
        <v>14000</v>
      </c>
      <c r="E88" s="40" t="n">
        <v>899</v>
      </c>
      <c r="F88" s="40" t="n">
        <v>899</v>
      </c>
      <c r="G88" s="41" t="n">
        <v>-15.21</v>
      </c>
      <c r="H88" s="41" t="n"/>
      <c r="I88" s="19" t="n">
        <v>680.380000000001</v>
      </c>
      <c r="J88" s="41" t="n">
        <v>434.299</v>
      </c>
      <c r="K88" s="42">
        <f>IF(AND(B88="SELL",E88&gt;0,J88&lt;&gt;""),J88/E88,0)</f>
        <v/>
      </c>
      <c r="L88" s="42" t="n">
        <v>0.472</v>
      </c>
      <c r="M88" s="40">
        <f>IF(AND(B88="SELL",L88&gt;0),D88*L88,0)</f>
        <v/>
      </c>
      <c r="N88" s="36" t="n"/>
      <c r="O88" s="43">
        <f>IF(AND(B88="SELL",G88&lt;&gt;0),Q88/ABS(G88),0)</f>
        <v/>
      </c>
      <c r="P88" s="43">
        <f>IF(AND(B88="SELL",D88&gt;0),R88/D88,0)</f>
        <v/>
      </c>
      <c r="Q88" s="44">
        <f>IF(AND(B88="SELL",D88&gt;0,E88&gt;0),(D88/E88)+G88,0)</f>
        <v/>
      </c>
      <c r="R88" s="45">
        <f>IF(B88="SELL",Q88*F88,0)</f>
        <v/>
      </c>
      <c r="S88" s="24">
        <f>S87+R88</f>
        <v/>
      </c>
    </row>
    <row r="89" ht="15.75" customHeight="1" s="94">
      <c r="A89" s="46" t="n">
        <v>88</v>
      </c>
      <c r="B89" s="47" t="inlineStr">
        <is>
          <t>SELL</t>
        </is>
      </c>
      <c r="C89" s="48" t="n">
        <v>46041</v>
      </c>
      <c r="D89" s="49" t="n">
        <v>20000</v>
      </c>
      <c r="E89" s="50" t="n">
        <v>899</v>
      </c>
      <c r="F89" s="50" t="n">
        <v>899</v>
      </c>
      <c r="G89" s="51" t="n">
        <v>-19.99</v>
      </c>
      <c r="H89" s="51" t="n"/>
      <c r="I89" s="30" t="n">
        <v>660.390000000001</v>
      </c>
      <c r="J89" s="51" t="n">
        <v>414.013</v>
      </c>
      <c r="K89" s="52">
        <f>IF(AND(B89="SELL",E89&gt;0,J89&lt;&gt;""),J89/E89,0)</f>
        <v/>
      </c>
      <c r="L89" s="52" t="n">
        <v>0.46</v>
      </c>
      <c r="M89" s="50">
        <f>IF(AND(B89="SELL",L89&gt;0),D89*L89,0)</f>
        <v/>
      </c>
      <c r="N89" s="46" t="n"/>
      <c r="O89" s="53">
        <f>IF(AND(B89="SELL",G89&lt;&gt;0),Q89/ABS(G89),0)</f>
        <v/>
      </c>
      <c r="P89" s="53">
        <f>IF(AND(B89="SELL",D89&gt;0),R89/D89,0)</f>
        <v/>
      </c>
      <c r="Q89" s="54">
        <f>IF(AND(B89="SELL",D89&gt;0,E89&gt;0),(D89/E89)+G89,0)</f>
        <v/>
      </c>
      <c r="R89" s="55">
        <f>IF(B89="SELL",Q89*F89,0)</f>
        <v/>
      </c>
      <c r="S89" s="35">
        <f>S88+R89</f>
        <v/>
      </c>
    </row>
    <row r="90" ht="15.75" customHeight="1" s="94">
      <c r="A90" s="36" t="n">
        <v>89</v>
      </c>
      <c r="B90" s="37" t="inlineStr">
        <is>
          <t>SELL</t>
        </is>
      </c>
      <c r="C90" s="38" t="n">
        <v>46041</v>
      </c>
      <c r="D90" s="39" t="n">
        <v>20000</v>
      </c>
      <c r="E90" s="40" t="n">
        <v>899</v>
      </c>
      <c r="F90" s="40" t="n">
        <v>899</v>
      </c>
      <c r="G90" s="41" t="n">
        <v>-21.09</v>
      </c>
      <c r="H90" s="41" t="n"/>
      <c r="I90" s="19" t="n">
        <v>639.300000000001</v>
      </c>
      <c r="J90" s="41" t="n">
        <v>412.401</v>
      </c>
      <c r="K90" s="42">
        <f>IF(AND(B90="SELL",E90&gt;0,J90&lt;&gt;""),J90/E90,0)</f>
        <v/>
      </c>
      <c r="L90" s="42" t="n">
        <v>0.435</v>
      </c>
      <c r="M90" s="40">
        <f>IF(AND(B90="SELL",L90&gt;0),D90*L90,0)</f>
        <v/>
      </c>
      <c r="N90" s="36" t="n"/>
      <c r="O90" s="43">
        <f>IF(AND(B90="SELL",G90&lt;&gt;0),Q90/ABS(G90),0)</f>
        <v/>
      </c>
      <c r="P90" s="43">
        <f>IF(AND(B90="SELL",D90&gt;0),R90/D90,0)</f>
        <v/>
      </c>
      <c r="Q90" s="44">
        <f>IF(AND(B90="SELL",D90&gt;0,E90&gt;0),(D90/E90)+G90,0)</f>
        <v/>
      </c>
      <c r="R90" s="45">
        <f>IF(B90="SELL",Q90*F90,0)</f>
        <v/>
      </c>
      <c r="S90" s="24">
        <f>S89+R90</f>
        <v/>
      </c>
    </row>
    <row r="91" ht="15.75" customHeight="1" s="94">
      <c r="A91" s="46" t="n">
        <v>90</v>
      </c>
      <c r="B91" s="47" t="inlineStr">
        <is>
          <t>SELL</t>
        </is>
      </c>
      <c r="C91" s="48" t="n">
        <v>46041</v>
      </c>
      <c r="D91" s="49" t="n">
        <v>20000</v>
      </c>
      <c r="E91" s="50" t="n">
        <v>899</v>
      </c>
      <c r="F91" s="50" t="n">
        <v>899</v>
      </c>
      <c r="G91" s="51" t="n">
        <v>-21.11</v>
      </c>
      <c r="H91" s="51" t="n"/>
      <c r="I91" s="30" t="n">
        <v>618.190000000001</v>
      </c>
      <c r="J91" s="51" t="n">
        <v>412</v>
      </c>
      <c r="K91" s="52">
        <f>IF(AND(B91="SELL",E91&gt;0,J91&lt;&gt;""),J91/E91,0)</f>
        <v/>
      </c>
      <c r="L91" s="52" t="n">
        <v>0.435</v>
      </c>
      <c r="M91" s="50">
        <f>IF(AND(B91="SELL",L91&gt;0),D91*L91,0)</f>
        <v/>
      </c>
      <c r="N91" s="46" t="n"/>
      <c r="O91" s="53">
        <f>IF(AND(B91="SELL",G91&lt;&gt;0),Q91/ABS(G91),0)</f>
        <v/>
      </c>
      <c r="P91" s="53">
        <f>IF(AND(B91="SELL",D91&gt;0),R91/D91,0)</f>
        <v/>
      </c>
      <c r="Q91" s="54">
        <f>IF(AND(B91="SELL",D91&gt;0,E91&gt;0),(D91/E91)+G91,0)</f>
        <v/>
      </c>
      <c r="R91" s="55">
        <f>IF(B91="SELL",Q91*F91,0)</f>
        <v/>
      </c>
      <c r="S91" s="35">
        <f>S90+R91</f>
        <v/>
      </c>
    </row>
    <row r="92" ht="15.75" customHeight="1" s="94">
      <c r="A92" s="36" t="n">
        <v>91</v>
      </c>
      <c r="B92" s="37" t="inlineStr">
        <is>
          <t>SELL</t>
        </is>
      </c>
      <c r="C92" s="38" t="n">
        <v>46041</v>
      </c>
      <c r="D92" s="39" t="n">
        <v>50000</v>
      </c>
      <c r="E92" s="40" t="n">
        <v>899</v>
      </c>
      <c r="F92" s="40" t="n">
        <v>899</v>
      </c>
      <c r="G92" s="41" t="n">
        <v>-52.08</v>
      </c>
      <c r="H92" s="41" t="n"/>
      <c r="I92" s="19" t="n">
        <v>566.110000000001</v>
      </c>
      <c r="J92" s="41" t="n">
        <v>417.603</v>
      </c>
      <c r="K92" s="42">
        <f>IF(AND(B92="SELL",E92&gt;0,J92&lt;&gt;""),J92/E92,0)</f>
        <v/>
      </c>
      <c r="L92" s="42" t="n">
        <v>0.435</v>
      </c>
      <c r="M92" s="40">
        <f>IF(AND(B92="SELL",L92&gt;0),D92*L92,0)</f>
        <v/>
      </c>
      <c r="N92" s="36" t="n"/>
      <c r="O92" s="43">
        <f>IF(AND(B92="SELL",G92&lt;&gt;0),Q92/ABS(G92),0)</f>
        <v/>
      </c>
      <c r="P92" s="43">
        <f>IF(AND(B92="SELL",D92&gt;0),R92/D92,0)</f>
        <v/>
      </c>
      <c r="Q92" s="44">
        <f>IF(AND(B92="SELL",D92&gt;0,E92&gt;0),(D92/E92)+G92,0)</f>
        <v/>
      </c>
      <c r="R92" s="45">
        <f>IF(B92="SELL",Q92*F92,0)</f>
        <v/>
      </c>
      <c r="S92" s="24">
        <f>S91+R92</f>
        <v/>
      </c>
    </row>
    <row r="93" ht="15.75" customHeight="1" s="94">
      <c r="A93" s="46" t="n">
        <v>92</v>
      </c>
      <c r="B93" s="47" t="inlineStr">
        <is>
          <t>SELL</t>
        </is>
      </c>
      <c r="C93" s="48" t="n">
        <v>46042</v>
      </c>
      <c r="D93" s="49" t="n">
        <v>20000</v>
      </c>
      <c r="E93" s="50" t="n">
        <v>899</v>
      </c>
      <c r="F93" s="50" t="n">
        <v>899</v>
      </c>
      <c r="G93" s="51" t="n">
        <v>-20.88</v>
      </c>
      <c r="H93" s="51" t="n"/>
      <c r="I93" s="30" t="n">
        <v>545.230000000001</v>
      </c>
      <c r="J93" s="51" t="n">
        <v>430</v>
      </c>
      <c r="K93" s="52">
        <f>IF(AND(B93="SELL",E93&gt;0,J93&lt;&gt;""),J93/E93,0)</f>
        <v/>
      </c>
      <c r="L93" s="52" t="n">
        <v>0.449</v>
      </c>
      <c r="M93" s="50">
        <f>IF(AND(B93="SELL",L93&gt;0),D93*L93,0)</f>
        <v/>
      </c>
      <c r="N93" s="46" t="n"/>
      <c r="O93" s="53">
        <f>IF(AND(B93="SELL",G93&lt;&gt;0),Q93/ABS(G93),0)</f>
        <v/>
      </c>
      <c r="P93" s="53">
        <f>IF(AND(B93="SELL",D93&gt;0),R93/D93,0)</f>
        <v/>
      </c>
      <c r="Q93" s="54">
        <f>IF(AND(B93="SELL",D93&gt;0,E93&gt;0),(D93/E93)+G93,0)</f>
        <v/>
      </c>
      <c r="R93" s="55">
        <f>IF(B93="SELL",Q93*F93,0)</f>
        <v/>
      </c>
      <c r="S93" s="35">
        <f>S92+R93</f>
        <v/>
      </c>
    </row>
    <row r="94" ht="15.75" customHeight="1" s="94">
      <c r="A94" s="36" t="n">
        <v>93</v>
      </c>
      <c r="B94" s="37" t="inlineStr">
        <is>
          <t>SELL</t>
        </is>
      </c>
      <c r="C94" s="38" t="n">
        <v>46042</v>
      </c>
      <c r="D94" s="39" t="n">
        <v>60000</v>
      </c>
      <c r="E94" s="40" t="n">
        <v>899</v>
      </c>
      <c r="F94" s="40" t="n">
        <v>899</v>
      </c>
      <c r="G94" s="41" t="n">
        <v>-62.1</v>
      </c>
      <c r="H94" s="41" t="n"/>
      <c r="I94" s="19" t="n">
        <v>483.130000000001</v>
      </c>
      <c r="J94" s="41" t="n">
        <v>433.8</v>
      </c>
      <c r="K94" s="42">
        <f>IF(AND(B94="SELL",E94&gt;0,J94&lt;&gt;""),J94/E94,0)</f>
        <v/>
      </c>
      <c r="L94" s="42" t="n">
        <v>0.449</v>
      </c>
      <c r="M94" s="40">
        <f>IF(AND(B94="SELL",L94&gt;0),D94*L94,0)</f>
        <v/>
      </c>
      <c r="N94" s="36" t="n"/>
      <c r="O94" s="43">
        <f>IF(AND(B94="SELL",G94&lt;&gt;0),Q94/ABS(G94),0)</f>
        <v/>
      </c>
      <c r="P94" s="43">
        <f>IF(AND(B94="SELL",D94&gt;0),R94/D94,0)</f>
        <v/>
      </c>
      <c r="Q94" s="44">
        <f>IF(AND(B94="SELL",D94&gt;0,E94&gt;0),(D94/E94)+G94,0)</f>
        <v/>
      </c>
      <c r="R94" s="45">
        <f>IF(B94="SELL",Q94*F94,0)</f>
        <v/>
      </c>
      <c r="S94" s="24">
        <f>S93+R94</f>
        <v/>
      </c>
    </row>
    <row r="95" ht="15.75" customHeight="1" s="94">
      <c r="A95" s="46" t="n">
        <v>94</v>
      </c>
      <c r="B95" s="47" t="inlineStr">
        <is>
          <t>SELL</t>
        </is>
      </c>
      <c r="C95" s="48" t="n">
        <v>46042</v>
      </c>
      <c r="D95" s="49" t="n">
        <v>50000</v>
      </c>
      <c r="E95" s="50" t="n">
        <v>899</v>
      </c>
      <c r="F95" s="50" t="n">
        <v>899</v>
      </c>
      <c r="G95" s="51" t="n">
        <v>-51.19</v>
      </c>
      <c r="H95" s="51" t="n"/>
      <c r="I95" s="30" t="n">
        <v>431.940000000001</v>
      </c>
      <c r="J95" s="51" t="n">
        <v>438.514</v>
      </c>
      <c r="K95" s="52">
        <f>IF(AND(B95="SELL",E95&gt;0,J95&lt;&gt;""),J95/E95,0)</f>
        <v/>
      </c>
      <c r="L95" s="52" t="n">
        <v>0.449</v>
      </c>
      <c r="M95" s="50">
        <f>IF(AND(B95="SELL",L95&gt;0),D95*L95,0)</f>
        <v/>
      </c>
      <c r="N95" s="46" t="n"/>
      <c r="O95" s="53">
        <f>IF(AND(B95="SELL",G95&lt;&gt;0),Q95/ABS(G95),0)</f>
        <v/>
      </c>
      <c r="P95" s="53">
        <f>IF(AND(B95="SELL",D95&gt;0),R95/D95,0)</f>
        <v/>
      </c>
      <c r="Q95" s="54">
        <f>IF(AND(B95="SELL",D95&gt;0,E95&gt;0),(D95/E95)+G95,0)</f>
        <v/>
      </c>
      <c r="R95" s="55">
        <f>IF(B95="SELL",Q95*F95,0)</f>
        <v/>
      </c>
      <c r="S95" s="35">
        <f>S94+R95</f>
        <v/>
      </c>
    </row>
    <row r="96" ht="15.75" customHeight="1" s="94">
      <c r="A96" s="36" t="n">
        <v>95</v>
      </c>
      <c r="B96" s="37" t="inlineStr">
        <is>
          <t>SELL</t>
        </is>
      </c>
      <c r="C96" s="38" t="n">
        <v>46042</v>
      </c>
      <c r="D96" s="39" t="n">
        <v>60000</v>
      </c>
      <c r="E96" s="40" t="n">
        <v>899</v>
      </c>
      <c r="F96" s="40" t="n">
        <v>899</v>
      </c>
      <c r="G96" s="41" t="n">
        <v>-61.19</v>
      </c>
      <c r="H96" s="41" t="n"/>
      <c r="I96" s="19" t="n">
        <v>370.750000000001</v>
      </c>
      <c r="J96" s="41" t="n">
        <v>440.201</v>
      </c>
      <c r="K96" s="42">
        <f>IF(AND(B96="SELL",E96&gt;0,J96&lt;&gt;""),J96/E96,0)</f>
        <v/>
      </c>
      <c r="L96" s="42" t="n">
        <v>0.449</v>
      </c>
      <c r="M96" s="40">
        <f>IF(AND(B96="SELL",L96&gt;0),D96*L96,0)</f>
        <v/>
      </c>
      <c r="N96" s="36" t="n"/>
      <c r="O96" s="43">
        <f>IF(AND(B96="SELL",G96&lt;&gt;0),Q96/ABS(G96),0)</f>
        <v/>
      </c>
      <c r="P96" s="43">
        <f>IF(AND(B96="SELL",D96&gt;0),R96/D96,0)</f>
        <v/>
      </c>
      <c r="Q96" s="44">
        <f>IF(AND(B96="SELL",D96&gt;0,E96&gt;0),(D96/E96)+G96,0)</f>
        <v/>
      </c>
      <c r="R96" s="45">
        <f>IF(B96="SELL",Q96*F96,0)</f>
        <v/>
      </c>
      <c r="S96" s="24">
        <f>S95+R96</f>
        <v/>
      </c>
    </row>
    <row r="97" ht="15.75" customHeight="1" s="94">
      <c r="A97" s="46" t="n">
        <v>96</v>
      </c>
      <c r="B97" s="47" t="inlineStr">
        <is>
          <t>SELL</t>
        </is>
      </c>
      <c r="C97" s="48" t="n">
        <v>46042</v>
      </c>
      <c r="D97" s="49" t="n">
        <v>21000</v>
      </c>
      <c r="E97" s="50" t="n">
        <v>899</v>
      </c>
      <c r="F97" s="50" t="n">
        <v>899</v>
      </c>
      <c r="G97" s="51" t="n">
        <v>-21.42</v>
      </c>
      <c r="H97" s="51" t="n"/>
      <c r="I97" s="30" t="n">
        <v>349.330000000001</v>
      </c>
      <c r="J97" s="51" t="n">
        <v>439.9</v>
      </c>
      <c r="K97" s="52">
        <f>IF(AND(B97="SELL",E97&gt;0,J97&lt;&gt;""),J97/E97,0)</f>
        <v/>
      </c>
      <c r="L97" s="52" t="n">
        <v>0.449</v>
      </c>
      <c r="M97" s="50">
        <f>IF(AND(B97="SELL",L97&gt;0),D97*L97,0)</f>
        <v/>
      </c>
      <c r="N97" s="46" t="n"/>
      <c r="O97" s="53">
        <f>IF(AND(B97="SELL",G97&lt;&gt;0),Q97/ABS(G97),0)</f>
        <v/>
      </c>
      <c r="P97" s="53">
        <f>IF(AND(B97="SELL",D97&gt;0),R97/D97,0)</f>
        <v/>
      </c>
      <c r="Q97" s="54">
        <f>IF(AND(B97="SELL",D97&gt;0,E97&gt;0),(D97/E97)+G97,0)</f>
        <v/>
      </c>
      <c r="R97" s="55">
        <f>IF(B97="SELL",Q97*F97,0)</f>
        <v/>
      </c>
      <c r="S97" s="35">
        <f>S96+R97</f>
        <v/>
      </c>
    </row>
    <row r="98" ht="15.75" customHeight="1" s="94">
      <c r="A98" s="36" t="n">
        <v>97</v>
      </c>
      <c r="B98" s="37" t="inlineStr">
        <is>
          <t>SELL</t>
        </is>
      </c>
      <c r="C98" s="38" t="n">
        <v>46042</v>
      </c>
      <c r="D98" s="39" t="n">
        <v>15000</v>
      </c>
      <c r="E98" s="40" t="n">
        <v>899</v>
      </c>
      <c r="F98" s="40" t="n">
        <v>899</v>
      </c>
      <c r="G98" s="41" t="n">
        <v>-14.32</v>
      </c>
      <c r="H98" s="41" t="n"/>
      <c r="I98" s="19" t="n">
        <v>335.010000000001</v>
      </c>
      <c r="J98" s="41" t="n">
        <v>445</v>
      </c>
      <c r="K98" s="42">
        <f>IF(AND(B98="SELL",E98&gt;0,J98&lt;&gt;""),J98/E98,0)</f>
        <v/>
      </c>
      <c r="L98" s="42" t="n">
        <v>0.449</v>
      </c>
      <c r="M98" s="40">
        <f>IF(AND(B98="SELL",L98&gt;0),D98*L98,0)</f>
        <v/>
      </c>
      <c r="N98" s="36" t="n"/>
      <c r="O98" s="43">
        <f>IF(AND(B98="SELL",G98&lt;&gt;0),Q98/ABS(G98),0)</f>
        <v/>
      </c>
      <c r="P98" s="43">
        <f>IF(AND(B98="SELL",D98&gt;0),R98/D98,0)</f>
        <v/>
      </c>
      <c r="Q98" s="44">
        <f>IF(AND(B98="SELL",D98&gt;0,E98&gt;0),(D98/E98)+G98,0)</f>
        <v/>
      </c>
      <c r="R98" s="45">
        <f>IF(B98="SELL",Q98*F98,0)</f>
        <v/>
      </c>
      <c r="S98" s="24">
        <f>S97+R98</f>
        <v/>
      </c>
    </row>
    <row r="99" ht="15.75" customHeight="1" s="94">
      <c r="A99" s="46" t="n">
        <v>98</v>
      </c>
      <c r="B99" s="47" t="inlineStr">
        <is>
          <t>SELL</t>
        </is>
      </c>
      <c r="C99" s="48" t="n">
        <v>46042</v>
      </c>
      <c r="D99" s="49" t="n">
        <v>300000</v>
      </c>
      <c r="E99" s="50" t="n">
        <v>899</v>
      </c>
      <c r="F99" s="50" t="n">
        <v>899</v>
      </c>
      <c r="G99" s="51" t="n">
        <v>-299.16</v>
      </c>
      <c r="H99" s="51" t="n"/>
      <c r="I99" s="30" t="n">
        <v>35.8500000000009</v>
      </c>
      <c r="J99" s="51" t="n">
        <v>451.251</v>
      </c>
      <c r="K99" s="52">
        <f>IF(AND(B99="SELL",E99&gt;0,J99&lt;&gt;""),J99/E99,0)</f>
        <v/>
      </c>
      <c r="L99" s="52" t="n">
        <v>0.45</v>
      </c>
      <c r="M99" s="50">
        <f>IF(AND(B99="SELL",L99&gt;0),D99*L99,0)</f>
        <v/>
      </c>
      <c r="N99" s="46" t="n"/>
      <c r="O99" s="53">
        <f>IF(AND(B99="SELL",G99&lt;&gt;0),Q99/ABS(G99),0)</f>
        <v/>
      </c>
      <c r="P99" s="53">
        <f>IF(AND(B99="SELL",D99&gt;0),R99/D99,0)</f>
        <v/>
      </c>
      <c r="Q99" s="54">
        <f>IF(AND(B99="SELL",D99&gt;0,E99&gt;0),(D99/E99)+G99,0)</f>
        <v/>
      </c>
      <c r="R99" s="55">
        <f>IF(B99="SELL",Q99*F99,0)</f>
        <v/>
      </c>
      <c r="S99" s="35">
        <f>S98+R99</f>
        <v/>
      </c>
    </row>
    <row r="100" ht="15.75" customHeight="1" s="94">
      <c r="A100" s="14" t="n">
        <v>99</v>
      </c>
      <c r="B100" s="15" t="inlineStr">
        <is>
          <t>BUY</t>
        </is>
      </c>
      <c r="C100" s="16" t="n">
        <v>46042</v>
      </c>
      <c r="D100" s="17" t="n">
        <v>1200000</v>
      </c>
      <c r="E100" s="18" t="n">
        <v>888.6</v>
      </c>
      <c r="F100" s="18" t="n">
        <v>888.6</v>
      </c>
      <c r="G100" s="19" t="n">
        <v>1350.43</v>
      </c>
      <c r="H100" s="19" t="n"/>
      <c r="I100" s="19" t="n">
        <v>1386.28</v>
      </c>
      <c r="J100" s="19" t="n"/>
      <c r="K100" s="20">
        <f>IF(AND(B100="SELL",E100&gt;0,J100&lt;&gt;""),J100/E100,0)</f>
        <v/>
      </c>
      <c r="L100" s="20" t="n"/>
      <c r="M100" s="18">
        <f>IF(AND(B100="SELL",L100&gt;0),D100*L100,0)</f>
        <v/>
      </c>
      <c r="N100" s="14" t="n"/>
      <c r="O100" s="21">
        <f>IF(AND(B100="SELL",G100&lt;&gt;0),Q100/ABS(G100),0)</f>
        <v/>
      </c>
      <c r="P100" s="21">
        <f>IF(AND(B100="SELL",D100&gt;0),R100/D100,0)</f>
        <v/>
      </c>
      <c r="Q100" s="22">
        <f>IF(AND(B100="SELL",D100&gt;0,E100&gt;0),(D100/E100)+G100,0)</f>
        <v/>
      </c>
      <c r="R100" s="23">
        <f>IF(B100="SELL",Q100*F100,0)</f>
        <v/>
      </c>
      <c r="S100" s="24">
        <f>S99+R100</f>
        <v/>
      </c>
    </row>
    <row r="101" ht="15.75" customHeight="1" s="94">
      <c r="A101" s="46" t="n">
        <v>100</v>
      </c>
      <c r="B101" s="47" t="inlineStr">
        <is>
          <t>SELL</t>
        </is>
      </c>
      <c r="C101" s="48" t="n">
        <v>46042</v>
      </c>
      <c r="D101" s="49" t="n">
        <v>34000</v>
      </c>
      <c r="E101" s="50" t="n">
        <v>888.6</v>
      </c>
      <c r="F101" s="50" t="n">
        <v>888.6</v>
      </c>
      <c r="G101" s="51" t="n">
        <v>-34.08</v>
      </c>
      <c r="H101" s="51" t="n"/>
      <c r="I101" s="30" t="n">
        <v>1352.2</v>
      </c>
      <c r="J101" s="51" t="n">
        <v>448.85</v>
      </c>
      <c r="K101" s="52">
        <f>IF(AND(B101="SELL",E101&gt;0,J101&lt;&gt;""),J101/E101,0)</f>
        <v/>
      </c>
      <c r="L101" s="52" t="n">
        <v>0.449</v>
      </c>
      <c r="M101" s="50">
        <f>IF(AND(B101="SELL",L101&gt;0),D101*L101,0)</f>
        <v/>
      </c>
      <c r="N101" s="46" t="n"/>
      <c r="O101" s="53">
        <f>IF(AND(B101="SELL",G101&lt;&gt;0),Q101/ABS(G101),0)</f>
        <v/>
      </c>
      <c r="P101" s="53">
        <f>IF(AND(B101="SELL",D101&gt;0),R101/D101,0)</f>
        <v/>
      </c>
      <c r="Q101" s="54">
        <f>IF(AND(B101="SELL",D101&gt;0,E101&gt;0),(D101/E101)+G101,0)</f>
        <v/>
      </c>
      <c r="R101" s="55">
        <f>IF(B101="SELL",Q101*F101,0)</f>
        <v/>
      </c>
      <c r="S101" s="35">
        <f>S100+R101</f>
        <v/>
      </c>
    </row>
    <row r="102" ht="15.75" customHeight="1" s="94">
      <c r="A102" s="36" t="n">
        <v>101</v>
      </c>
      <c r="B102" s="37" t="inlineStr">
        <is>
          <t>SELL</t>
        </is>
      </c>
      <c r="C102" s="38" t="n">
        <v>46042</v>
      </c>
      <c r="D102" s="39" t="n">
        <v>10000</v>
      </c>
      <c r="E102" s="40" t="n">
        <v>888.6</v>
      </c>
      <c r="F102" s="40" t="n">
        <v>888.6</v>
      </c>
      <c r="G102" s="41" t="n">
        <v>-10.24</v>
      </c>
      <c r="H102" s="41" t="n"/>
      <c r="I102" s="19" t="n">
        <v>1341.96</v>
      </c>
      <c r="J102" s="41" t="n">
        <v>438.3</v>
      </c>
      <c r="K102" s="42">
        <f>IF(AND(B102="SELL",E102&gt;0,J102&lt;&gt;""),J102/E102,0)</f>
        <v/>
      </c>
      <c r="L102" s="42" t="n">
        <v>0.449</v>
      </c>
      <c r="M102" s="40">
        <f>IF(AND(B102="SELL",L102&gt;0),D102*L102,0)</f>
        <v/>
      </c>
      <c r="N102" s="36" t="n"/>
      <c r="O102" s="43">
        <f>IF(AND(B102="SELL",G102&lt;&gt;0),Q102/ABS(G102),0)</f>
        <v/>
      </c>
      <c r="P102" s="43">
        <f>IF(AND(B102="SELL",D102&gt;0),R102/D102,0)</f>
        <v/>
      </c>
      <c r="Q102" s="44">
        <f>IF(AND(B102="SELL",D102&gt;0,E102&gt;0),(D102/E102)+G102,0)</f>
        <v/>
      </c>
      <c r="R102" s="45">
        <f>IF(B102="SELL",Q102*F102,0)</f>
        <v/>
      </c>
      <c r="S102" s="24">
        <f>S101+R102</f>
        <v/>
      </c>
    </row>
    <row r="103" ht="15.75" customHeight="1" s="94">
      <c r="A103" s="46" t="n">
        <v>102</v>
      </c>
      <c r="B103" s="47" t="inlineStr">
        <is>
          <t>SELL</t>
        </is>
      </c>
      <c r="C103" s="48" t="n">
        <v>46042</v>
      </c>
      <c r="D103" s="49" t="n">
        <v>15000</v>
      </c>
      <c r="E103" s="50" t="n">
        <v>888.6</v>
      </c>
      <c r="F103" s="50" t="n">
        <v>888.6</v>
      </c>
      <c r="G103" s="51" t="n">
        <v>-15.13</v>
      </c>
      <c r="H103" s="51" t="n"/>
      <c r="I103" s="30" t="n">
        <v>1326.83</v>
      </c>
      <c r="J103" s="51" t="n">
        <v>445.006</v>
      </c>
      <c r="K103" s="52">
        <f>IF(AND(B103="SELL",E103&gt;0,J103&lt;&gt;""),J103/E103,0)</f>
        <v/>
      </c>
      <c r="L103" s="52" t="n">
        <v>0.449</v>
      </c>
      <c r="M103" s="50">
        <f>IF(AND(B103="SELL",L103&gt;0),D103*L103,0)</f>
        <v/>
      </c>
      <c r="N103" s="46" t="n"/>
      <c r="O103" s="53">
        <f>IF(AND(B103="SELL",G103&lt;&gt;0),Q103/ABS(G103),0)</f>
        <v/>
      </c>
      <c r="P103" s="53">
        <f>IF(AND(B103="SELL",D103&gt;0),R103/D103,0)</f>
        <v/>
      </c>
      <c r="Q103" s="54">
        <f>IF(AND(B103="SELL",D103&gt;0,E103&gt;0),(D103/E103)+G103,0)</f>
        <v/>
      </c>
      <c r="R103" s="55">
        <f>IF(B103="SELL",Q103*F103,0)</f>
        <v/>
      </c>
      <c r="S103" s="35">
        <f>S102+R103</f>
        <v/>
      </c>
    </row>
    <row r="104" ht="15.75" customHeight="1" s="94">
      <c r="A104" s="36" t="n">
        <v>103</v>
      </c>
      <c r="B104" s="37" t="inlineStr">
        <is>
          <t>SELL</t>
        </is>
      </c>
      <c r="C104" s="38" t="n">
        <v>46043</v>
      </c>
      <c r="D104" s="39" t="n">
        <v>20000</v>
      </c>
      <c r="E104" s="40" t="n">
        <v>888.6</v>
      </c>
      <c r="F104" s="40" t="n">
        <v>888.6</v>
      </c>
      <c r="G104" s="41" t="n">
        <v>-20.76</v>
      </c>
      <c r="H104" s="41" t="n"/>
      <c r="I104" s="19" t="n">
        <v>1306.07</v>
      </c>
      <c r="J104" s="41" t="n">
        <v>460.3</v>
      </c>
      <c r="K104" s="42">
        <f>IF(AND(B104="SELL",E104&gt;0,J104&lt;&gt;""),J104/E104,0)</f>
        <v/>
      </c>
      <c r="L104" s="42" t="n">
        <v>0.478</v>
      </c>
      <c r="M104" s="40">
        <f>IF(AND(B104="SELL",L104&gt;0),D104*L104,0)</f>
        <v/>
      </c>
      <c r="N104" s="36" t="n"/>
      <c r="O104" s="43">
        <f>IF(AND(B104="SELL",G104&lt;&gt;0),Q104/ABS(G104),0)</f>
        <v/>
      </c>
      <c r="P104" s="43">
        <f>IF(AND(B104="SELL",D104&gt;0),R104/D104,0)</f>
        <v/>
      </c>
      <c r="Q104" s="44">
        <f>IF(AND(B104="SELL",D104&gt;0,E104&gt;0),(D104/E104)+G104,0)</f>
        <v/>
      </c>
      <c r="R104" s="45">
        <f>IF(B104="SELL",Q104*F104,0)</f>
        <v/>
      </c>
      <c r="S104" s="24">
        <f>S103+R104</f>
        <v/>
      </c>
    </row>
    <row r="105" ht="15.75" customHeight="1" s="94">
      <c r="A105" s="46" t="n">
        <v>104</v>
      </c>
      <c r="B105" s="47" t="inlineStr">
        <is>
          <t>SELL</t>
        </is>
      </c>
      <c r="C105" s="48" t="n">
        <v>46043</v>
      </c>
      <c r="D105" s="49" t="n">
        <v>120000</v>
      </c>
      <c r="E105" s="50" t="n">
        <v>888.6</v>
      </c>
      <c r="F105" s="50" t="n">
        <v>888.6</v>
      </c>
      <c r="G105" s="51" t="n">
        <v>-124.5</v>
      </c>
      <c r="H105" s="51" t="n"/>
      <c r="I105" s="30" t="n">
        <v>1181.57</v>
      </c>
      <c r="J105" s="51" t="n">
        <v>460.7</v>
      </c>
      <c r="K105" s="52">
        <f>IF(AND(B105="SELL",E105&gt;0,J105&lt;&gt;""),J105/E105,0)</f>
        <v/>
      </c>
      <c r="L105" s="52" t="n">
        <v>0.478</v>
      </c>
      <c r="M105" s="50">
        <f>IF(AND(B105="SELL",L105&gt;0),D105*L105,0)</f>
        <v/>
      </c>
      <c r="N105" s="46" t="n"/>
      <c r="O105" s="53">
        <f>IF(AND(B105="SELL",G105&lt;&gt;0),Q105/ABS(G105),0)</f>
        <v/>
      </c>
      <c r="P105" s="53">
        <f>IF(AND(B105="SELL",D105&gt;0),R105/D105,0)</f>
        <v/>
      </c>
      <c r="Q105" s="54">
        <f>IF(AND(B105="SELL",D105&gt;0,E105&gt;0),(D105/E105)+G105,0)</f>
        <v/>
      </c>
      <c r="R105" s="55">
        <f>IF(B105="SELL",Q105*F105,0)</f>
        <v/>
      </c>
      <c r="S105" s="35">
        <f>S104+R105</f>
        <v/>
      </c>
    </row>
    <row r="106" ht="15.75" customHeight="1" s="94">
      <c r="A106" s="36" t="n">
        <v>105</v>
      </c>
      <c r="B106" s="37" t="inlineStr">
        <is>
          <t>SELL</t>
        </is>
      </c>
      <c r="C106" s="38" t="n">
        <v>46043</v>
      </c>
      <c r="D106" s="39" t="n">
        <v>40000</v>
      </c>
      <c r="E106" s="40" t="n">
        <v>888.6</v>
      </c>
      <c r="F106" s="40" t="n">
        <v>888.6</v>
      </c>
      <c r="G106" s="41" t="n">
        <v>-41.25</v>
      </c>
      <c r="H106" s="41" t="n"/>
      <c r="I106" s="19" t="n">
        <v>1140.32</v>
      </c>
      <c r="J106" s="41" t="n">
        <v>463.5</v>
      </c>
      <c r="K106" s="42">
        <f>IF(AND(B106="SELL",E106&gt;0,J106&lt;&gt;""),J106/E106,0)</f>
        <v/>
      </c>
      <c r="L106" s="42" t="n">
        <v>0.478</v>
      </c>
      <c r="M106" s="40">
        <f>IF(AND(B106="SELL",L106&gt;0),D106*L106,0)</f>
        <v/>
      </c>
      <c r="N106" s="36" t="n"/>
      <c r="O106" s="43">
        <f>IF(AND(B106="SELL",G106&lt;&gt;0),Q106/ABS(G106),0)</f>
        <v/>
      </c>
      <c r="P106" s="43">
        <f>IF(AND(B106="SELL",D106&gt;0),R106/D106,0)</f>
        <v/>
      </c>
      <c r="Q106" s="44">
        <f>IF(AND(B106="SELL",D106&gt;0,E106&gt;0),(D106/E106)+G106,0)</f>
        <v/>
      </c>
      <c r="R106" s="45">
        <f>IF(B106="SELL",Q106*F106,0)</f>
        <v/>
      </c>
      <c r="S106" s="24">
        <f>S105+R106</f>
        <v/>
      </c>
    </row>
    <row r="107" ht="15.75" customHeight="1" s="94">
      <c r="A107" s="46" t="n">
        <v>106</v>
      </c>
      <c r="B107" s="47" t="inlineStr">
        <is>
          <t>SELL</t>
        </is>
      </c>
      <c r="C107" s="48" t="n">
        <v>46044</v>
      </c>
      <c r="D107" s="49" t="n">
        <v>40000</v>
      </c>
      <c r="E107" s="50" t="n">
        <v>888.6</v>
      </c>
      <c r="F107" s="50" t="n">
        <v>888.6</v>
      </c>
      <c r="G107" s="51" t="n">
        <v>-43.22</v>
      </c>
      <c r="H107" s="51" t="n"/>
      <c r="I107" s="30" t="n">
        <v>1097.1</v>
      </c>
      <c r="J107" s="51" t="n">
        <v>446</v>
      </c>
      <c r="K107" s="52">
        <f>IF(AND(B107="SELL",E107&gt;0,J107&lt;&gt;""),J107/E107,0)</f>
        <v/>
      </c>
      <c r="L107" s="52" t="n">
        <v>0.482</v>
      </c>
      <c r="M107" s="50">
        <f>IF(AND(B107="SELL",L107&gt;0),D107*L107,0)</f>
        <v/>
      </c>
      <c r="N107" s="46" t="n"/>
      <c r="O107" s="53">
        <f>IF(AND(B107="SELL",G107&lt;&gt;0),Q107/ABS(G107),0)</f>
        <v/>
      </c>
      <c r="P107" s="53">
        <f>IF(AND(B107="SELL",D107&gt;0),R107/D107,0)</f>
        <v/>
      </c>
      <c r="Q107" s="54">
        <f>IF(AND(B107="SELL",D107&gt;0,E107&gt;0),(D107/E107)+G107,0)</f>
        <v/>
      </c>
      <c r="R107" s="55">
        <f>IF(B107="SELL",Q107*F107,0)</f>
        <v/>
      </c>
      <c r="S107" s="35">
        <f>S106+R107</f>
        <v/>
      </c>
    </row>
    <row r="108" ht="15.75" customHeight="1" s="94">
      <c r="A108" s="36" t="n">
        <v>107</v>
      </c>
      <c r="B108" s="37" t="inlineStr">
        <is>
          <t>SELL</t>
        </is>
      </c>
      <c r="C108" s="38" t="n">
        <v>46044</v>
      </c>
      <c r="D108" s="39" t="n">
        <v>20000</v>
      </c>
      <c r="E108" s="40" t="n">
        <v>888.6</v>
      </c>
      <c r="F108" s="40" t="n">
        <v>888.6</v>
      </c>
      <c r="G108" s="41" t="n">
        <v>-21.6</v>
      </c>
      <c r="H108" s="41" t="n"/>
      <c r="I108" s="19" t="n">
        <v>1075.5</v>
      </c>
      <c r="J108" s="41" t="n">
        <v>446.1</v>
      </c>
      <c r="K108" s="42">
        <f>IF(AND(B108="SELL",E108&gt;0,J108&lt;&gt;""),J108/E108,0)</f>
        <v/>
      </c>
      <c r="L108" s="42" t="n">
        <v>0.482</v>
      </c>
      <c r="M108" s="40">
        <f>IF(AND(B108="SELL",L108&gt;0),D108*L108,0)</f>
        <v/>
      </c>
      <c r="N108" s="36" t="n"/>
      <c r="O108" s="43">
        <f>IF(AND(B108="SELL",G108&lt;&gt;0),Q108/ABS(G108),0)</f>
        <v/>
      </c>
      <c r="P108" s="43">
        <f>IF(AND(B108="SELL",D108&gt;0),R108/D108,0)</f>
        <v/>
      </c>
      <c r="Q108" s="44">
        <f>IF(AND(B108="SELL",D108&gt;0,E108&gt;0),(D108/E108)+G108,0)</f>
        <v/>
      </c>
      <c r="R108" s="45">
        <f>IF(B108="SELL",Q108*F108,0)</f>
        <v/>
      </c>
      <c r="S108" s="24">
        <f>S107+R108</f>
        <v/>
      </c>
    </row>
    <row r="109" ht="15.75" customHeight="1" s="94">
      <c r="A109" s="46" t="n">
        <v>108</v>
      </c>
      <c r="B109" s="47" t="inlineStr">
        <is>
          <t>SELL</t>
        </is>
      </c>
      <c r="C109" s="48" t="n">
        <v>46044</v>
      </c>
      <c r="D109" s="49" t="n">
        <v>50000</v>
      </c>
      <c r="E109" s="50" t="n">
        <v>888.6</v>
      </c>
      <c r="F109" s="50" t="n">
        <v>888.6</v>
      </c>
      <c r="G109" s="51" t="n">
        <v>-52.79</v>
      </c>
      <c r="H109" s="51" t="n"/>
      <c r="I109" s="30" t="n">
        <v>1022.71</v>
      </c>
      <c r="J109" s="51" t="n">
        <v>456.5</v>
      </c>
      <c r="K109" s="52">
        <f>IF(AND(B109="SELL",E109&gt;0,J109&lt;&gt;""),J109/E109,0)</f>
        <v/>
      </c>
      <c r="L109" s="52" t="n">
        <v>0.482</v>
      </c>
      <c r="M109" s="50">
        <f>IF(AND(B109="SELL",L109&gt;0),D109*L109,0)</f>
        <v/>
      </c>
      <c r="N109" s="46" t="n"/>
      <c r="O109" s="53">
        <f>IF(AND(B109="SELL",G109&lt;&gt;0),Q109/ABS(G109),0)</f>
        <v/>
      </c>
      <c r="P109" s="53">
        <f>IF(AND(B109="SELL",D109&gt;0),R109/D109,0)</f>
        <v/>
      </c>
      <c r="Q109" s="54">
        <f>IF(AND(B109="SELL",D109&gt;0,E109&gt;0),(D109/E109)+G109,0)</f>
        <v/>
      </c>
      <c r="R109" s="55">
        <f>IF(B109="SELL",Q109*F109,0)</f>
        <v/>
      </c>
      <c r="S109" s="35">
        <f>S108+R109</f>
        <v/>
      </c>
    </row>
    <row r="110" ht="15.75" customHeight="1" s="94">
      <c r="A110" s="36" t="n">
        <v>109</v>
      </c>
      <c r="B110" s="37" t="inlineStr">
        <is>
          <t>SELL</t>
        </is>
      </c>
      <c r="C110" s="38" t="n">
        <v>46045</v>
      </c>
      <c r="D110" s="39" t="n">
        <v>20000</v>
      </c>
      <c r="E110" s="40" t="n">
        <v>888.6</v>
      </c>
      <c r="F110" s="40" t="n">
        <v>888.6</v>
      </c>
      <c r="G110" s="41" t="n">
        <v>-20.9</v>
      </c>
      <c r="H110" s="41" t="n"/>
      <c r="I110" s="19" t="n">
        <v>1001.81</v>
      </c>
      <c r="J110" s="41" t="n">
        <v>464</v>
      </c>
      <c r="K110" s="42">
        <f>IF(AND(B110="SELL",E110&gt;0,J110&lt;&gt;""),J110/E110,0)</f>
        <v/>
      </c>
      <c r="L110" s="42" t="n">
        <v>0.485</v>
      </c>
      <c r="M110" s="40">
        <f>IF(AND(B110="SELL",L110&gt;0),D110*L110,0)</f>
        <v/>
      </c>
      <c r="N110" s="36" t="n"/>
      <c r="O110" s="43">
        <f>IF(AND(B110="SELL",G110&lt;&gt;0),Q110/ABS(G110),0)</f>
        <v/>
      </c>
      <c r="P110" s="43">
        <f>IF(AND(B110="SELL",D110&gt;0),R110/D110,0)</f>
        <v/>
      </c>
      <c r="Q110" s="44">
        <f>IF(AND(B110="SELL",D110&gt;0,E110&gt;0),(D110/E110)+G110,0)</f>
        <v/>
      </c>
      <c r="R110" s="45">
        <f>IF(B110="SELL",Q110*F110,0)</f>
        <v/>
      </c>
      <c r="S110" s="24">
        <f>S109+R110</f>
        <v/>
      </c>
    </row>
    <row r="111" ht="15.75" customHeight="1" s="94">
      <c r="A111" s="46" t="n">
        <v>110</v>
      </c>
      <c r="B111" s="47" t="inlineStr">
        <is>
          <t>SELL</t>
        </is>
      </c>
      <c r="C111" s="48" t="n">
        <v>46046</v>
      </c>
      <c r="D111" s="49" t="n">
        <v>120000</v>
      </c>
      <c r="E111" s="50" t="n">
        <v>888.6</v>
      </c>
      <c r="F111" s="50" t="n">
        <v>888.6</v>
      </c>
      <c r="G111" s="51" t="n">
        <v>-126.7</v>
      </c>
      <c r="H111" s="51" t="n"/>
      <c r="I111" s="30" t="n">
        <v>875.110000000001</v>
      </c>
      <c r="J111" s="51" t="n">
        <v>470.7</v>
      </c>
      <c r="K111" s="52">
        <f>IF(AND(B111="SELL",E111&gt;0,J111&lt;&gt;""),J111/E111,0)</f>
        <v/>
      </c>
      <c r="L111" s="52" t="n">
        <v>0.497</v>
      </c>
      <c r="M111" s="50">
        <f>IF(AND(B111="SELL",L111&gt;0),D111*L111,0)</f>
        <v/>
      </c>
      <c r="N111" s="46" t="n"/>
      <c r="O111" s="53">
        <f>IF(AND(B111="SELL",G111&lt;&gt;0),Q111/ABS(G111),0)</f>
        <v/>
      </c>
      <c r="P111" s="53">
        <f>IF(AND(B111="SELL",D111&gt;0),R111/D111,0)</f>
        <v/>
      </c>
      <c r="Q111" s="54">
        <f>IF(AND(B111="SELL",D111&gt;0,E111&gt;0),(D111/E111)+G111,0)</f>
        <v/>
      </c>
      <c r="R111" s="55">
        <f>IF(B111="SELL",Q111*F111,0)</f>
        <v/>
      </c>
      <c r="S111" s="35">
        <f>S110+R111</f>
        <v/>
      </c>
    </row>
    <row r="112" ht="15.75" customHeight="1" s="94">
      <c r="A112" s="36" t="n">
        <v>111</v>
      </c>
      <c r="B112" s="37" t="inlineStr">
        <is>
          <t>SELL</t>
        </is>
      </c>
      <c r="C112" s="38" t="n">
        <v>46046</v>
      </c>
      <c r="D112" s="39" t="n">
        <v>15000</v>
      </c>
      <c r="E112" s="40" t="n">
        <v>888.6</v>
      </c>
      <c r="F112" s="40" t="n">
        <v>888.6</v>
      </c>
      <c r="G112" s="41" t="n">
        <v>-15.92</v>
      </c>
      <c r="H112" s="41" t="n"/>
      <c r="I112" s="19" t="n">
        <v>859.190000000001</v>
      </c>
      <c r="J112" s="41" t="n">
        <v>468.11</v>
      </c>
      <c r="K112" s="42">
        <f>IF(AND(B112="SELL",E112&gt;0,J112&lt;&gt;""),J112/E112,0)</f>
        <v/>
      </c>
      <c r="L112" s="42" t="n">
        <v>0.497</v>
      </c>
      <c r="M112" s="40">
        <f>IF(AND(B112="SELL",L112&gt;0),D112*L112,0)</f>
        <v/>
      </c>
      <c r="N112" s="36" t="n"/>
      <c r="O112" s="43">
        <f>IF(AND(B112="SELL",G112&lt;&gt;0),Q112/ABS(G112),0)</f>
        <v/>
      </c>
      <c r="P112" s="43">
        <f>IF(AND(B112="SELL",D112&gt;0),R112/D112,0)</f>
        <v/>
      </c>
      <c r="Q112" s="44">
        <f>IF(AND(B112="SELL",D112&gt;0,E112&gt;0),(D112/E112)+G112,0)</f>
        <v/>
      </c>
      <c r="R112" s="45">
        <f>IF(B112="SELL",Q112*F112,0)</f>
        <v/>
      </c>
      <c r="S112" s="24">
        <f>S111+R112</f>
        <v/>
      </c>
    </row>
    <row r="113" ht="15.75" customHeight="1" s="94">
      <c r="A113" s="46" t="n">
        <v>112</v>
      </c>
      <c r="B113" s="47" t="inlineStr">
        <is>
          <t>SELL</t>
        </is>
      </c>
      <c r="C113" s="48" t="n">
        <v>46046</v>
      </c>
      <c r="D113" s="49" t="n">
        <v>20000</v>
      </c>
      <c r="E113" s="50" t="n">
        <v>888.6</v>
      </c>
      <c r="F113" s="50" t="n">
        <v>888.6</v>
      </c>
      <c r="G113" s="51" t="n">
        <v>-21.14</v>
      </c>
      <c r="H113" s="51" t="n"/>
      <c r="I113" s="30" t="n">
        <v>838.050000000001</v>
      </c>
      <c r="J113" s="51" t="n">
        <v>470.001</v>
      </c>
      <c r="K113" s="52">
        <f>IF(AND(B113="SELL",E113&gt;0,J113&lt;&gt;""),J113/E113,0)</f>
        <v/>
      </c>
      <c r="L113" s="52" t="n">
        <v>0.497</v>
      </c>
      <c r="M113" s="50">
        <f>IF(AND(B113="SELL",L113&gt;0),D113*L113,0)</f>
        <v/>
      </c>
      <c r="N113" s="46" t="n"/>
      <c r="O113" s="53">
        <f>IF(AND(B113="SELL",G113&lt;&gt;0),Q113/ABS(G113),0)</f>
        <v/>
      </c>
      <c r="P113" s="53">
        <f>IF(AND(B113="SELL",D113&gt;0),R113/D113,0)</f>
        <v/>
      </c>
      <c r="Q113" s="54">
        <f>IF(AND(B113="SELL",D113&gt;0,E113&gt;0),(D113/E113)+G113,0)</f>
        <v/>
      </c>
      <c r="R113" s="55">
        <f>IF(B113="SELL",Q113*F113,0)</f>
        <v/>
      </c>
      <c r="S113" s="35">
        <f>S112+R113</f>
        <v/>
      </c>
    </row>
    <row r="114" ht="15.75" customHeight="1" s="94">
      <c r="A114" s="36" t="n">
        <v>113</v>
      </c>
      <c r="B114" s="37" t="inlineStr">
        <is>
          <t>SELL</t>
        </is>
      </c>
      <c r="C114" s="38" t="n">
        <v>46046</v>
      </c>
      <c r="D114" s="39" t="n">
        <v>40000</v>
      </c>
      <c r="E114" s="40" t="n">
        <v>888.6</v>
      </c>
      <c r="F114" s="40" t="n">
        <v>888.6</v>
      </c>
      <c r="G114" s="41" t="n">
        <v>-42.3</v>
      </c>
      <c r="H114" s="41" t="n"/>
      <c r="I114" s="19" t="n">
        <v>795.750000000001</v>
      </c>
      <c r="J114" s="41" t="n">
        <v>469.89</v>
      </c>
      <c r="K114" s="42">
        <f>IF(AND(B114="SELL",E114&gt;0,J114&lt;&gt;""),J114/E114,0)</f>
        <v/>
      </c>
      <c r="L114" s="42" t="n">
        <v>0.497</v>
      </c>
      <c r="M114" s="40">
        <f>IF(AND(B114="SELL",L114&gt;0),D114*L114,0)</f>
        <v/>
      </c>
      <c r="N114" s="36" t="n"/>
      <c r="O114" s="43">
        <f>IF(AND(B114="SELL",G114&lt;&gt;0),Q114/ABS(G114),0)</f>
        <v/>
      </c>
      <c r="P114" s="43">
        <f>IF(AND(B114="SELL",D114&gt;0),R114/D114,0)</f>
        <v/>
      </c>
      <c r="Q114" s="44">
        <f>IF(AND(B114="SELL",D114&gt;0,E114&gt;0),(D114/E114)+G114,0)</f>
        <v/>
      </c>
      <c r="R114" s="45">
        <f>IF(B114="SELL",Q114*F114,0)</f>
        <v/>
      </c>
      <c r="S114" s="24">
        <f>S113+R114</f>
        <v/>
      </c>
    </row>
    <row r="115" ht="15.75" customHeight="1" s="94">
      <c r="A115" s="46" t="n">
        <v>114</v>
      </c>
      <c r="B115" s="47" t="inlineStr">
        <is>
          <t>SELL</t>
        </is>
      </c>
      <c r="C115" s="48" t="n">
        <v>46046</v>
      </c>
      <c r="D115" s="49" t="n">
        <v>30000</v>
      </c>
      <c r="E115" s="50" t="n">
        <v>888.6</v>
      </c>
      <c r="F115" s="50" t="n">
        <v>888.6</v>
      </c>
      <c r="G115" s="51" t="n">
        <v>-31.66</v>
      </c>
      <c r="H115" s="51" t="n"/>
      <c r="I115" s="30" t="n">
        <v>764.0900000000011</v>
      </c>
      <c r="J115" s="51" t="n">
        <v>470.9</v>
      </c>
      <c r="K115" s="52">
        <f>IF(AND(B115="SELL",E115&gt;0,J115&lt;&gt;""),J115/E115,0)</f>
        <v/>
      </c>
      <c r="L115" s="52" t="n">
        <v>0.497</v>
      </c>
      <c r="M115" s="50">
        <f>IF(AND(B115="SELL",L115&gt;0),D115*L115,0)</f>
        <v/>
      </c>
      <c r="N115" s="46" t="n"/>
      <c r="O115" s="53">
        <f>IF(AND(B115="SELL",G115&lt;&gt;0),Q115/ABS(G115),0)</f>
        <v/>
      </c>
      <c r="P115" s="53">
        <f>IF(AND(B115="SELL",D115&gt;0),R115/D115,0)</f>
        <v/>
      </c>
      <c r="Q115" s="54">
        <f>IF(AND(B115="SELL",D115&gt;0,E115&gt;0),(D115/E115)+G115,0)</f>
        <v/>
      </c>
      <c r="R115" s="55">
        <f>IF(B115="SELL",Q115*F115,0)</f>
        <v/>
      </c>
      <c r="S115" s="35">
        <f>S114+R115</f>
        <v/>
      </c>
    </row>
    <row r="116" ht="15.75" customHeight="1" s="94">
      <c r="A116" s="36" t="n">
        <v>115</v>
      </c>
      <c r="B116" s="37" t="inlineStr">
        <is>
          <t>SELL</t>
        </is>
      </c>
      <c r="C116" s="38" t="n">
        <v>46046</v>
      </c>
      <c r="D116" s="39" t="n">
        <v>100000</v>
      </c>
      <c r="E116" s="40" t="n">
        <v>888.6</v>
      </c>
      <c r="F116" s="40" t="n">
        <v>888.6</v>
      </c>
      <c r="G116" s="41" t="n">
        <v>-104.65</v>
      </c>
      <c r="H116" s="41" t="n"/>
      <c r="I116" s="19" t="n">
        <v>659.440000000001</v>
      </c>
      <c r="J116" s="41" t="n">
        <v>474.901</v>
      </c>
      <c r="K116" s="42">
        <f>IF(AND(B116="SELL",E116&gt;0,J116&lt;&gt;""),J116/E116,0)</f>
        <v/>
      </c>
      <c r="L116" s="42" t="n">
        <v>0.497</v>
      </c>
      <c r="M116" s="40">
        <f>IF(AND(B116="SELL",L116&gt;0),D116*L116,0)</f>
        <v/>
      </c>
      <c r="N116" s="36" t="n"/>
      <c r="O116" s="43">
        <f>IF(AND(B116="SELL",G116&lt;&gt;0),Q116/ABS(G116),0)</f>
        <v/>
      </c>
      <c r="P116" s="43">
        <f>IF(AND(B116="SELL",D116&gt;0),R116/D116,0)</f>
        <v/>
      </c>
      <c r="Q116" s="44">
        <f>IF(AND(B116="SELL",D116&gt;0,E116&gt;0),(D116/E116)+G116,0)</f>
        <v/>
      </c>
      <c r="R116" s="45">
        <f>IF(B116="SELL",Q116*F116,0)</f>
        <v/>
      </c>
      <c r="S116" s="24">
        <f>S115+R116</f>
        <v/>
      </c>
    </row>
    <row r="117" ht="15.75" customHeight="1" s="94">
      <c r="A117" s="46" t="n">
        <v>116</v>
      </c>
      <c r="B117" s="47" t="inlineStr">
        <is>
          <t>SELL</t>
        </is>
      </c>
      <c r="C117" s="48" t="n">
        <v>46048</v>
      </c>
      <c r="D117" s="49" t="n">
        <v>430000</v>
      </c>
      <c r="E117" s="50" t="n">
        <v>888.6</v>
      </c>
      <c r="F117" s="50" t="n">
        <v>888.6</v>
      </c>
      <c r="G117" s="51" t="n">
        <v>-445.85</v>
      </c>
      <c r="H117" s="51" t="n"/>
      <c r="I117" s="30" t="n">
        <v>213.590000000001</v>
      </c>
      <c r="J117" s="51" t="n">
        <v>17.36</v>
      </c>
      <c r="K117" s="52">
        <f>IF(AND(B117="SELL",E117&gt;0,J117&lt;&gt;""),J117/E117,0)</f>
        <v/>
      </c>
      <c r="L117" s="52" t="n">
        <v>0.018</v>
      </c>
      <c r="M117" s="50">
        <f>IF(AND(B117="SELL",L117&gt;0),D117*L117,0)</f>
        <v/>
      </c>
      <c r="N117" s="46" t="inlineStr">
        <is>
          <t>MXN</t>
        </is>
      </c>
      <c r="O117" s="53">
        <f>IF(AND(B117="SELL",G117&lt;&gt;0),Q117/ABS(G117),0)</f>
        <v/>
      </c>
      <c r="P117" s="53">
        <f>IF(AND(B117="SELL",D117&gt;0),R117/D117,0)</f>
        <v/>
      </c>
      <c r="Q117" s="54">
        <f>IF(AND(B117="SELL",D117&gt;0,E117&gt;0),(D117/E117)+G117,0)</f>
        <v/>
      </c>
      <c r="R117" s="55">
        <f>IF(B117="SELL",Q117*F117,0)</f>
        <v/>
      </c>
      <c r="S117" s="35">
        <f>S116+R117</f>
        <v/>
      </c>
    </row>
    <row r="118" ht="15.75" customHeight="1" s="94">
      <c r="A118" s="14" t="n">
        <v>117</v>
      </c>
      <c r="B118" s="15" t="inlineStr">
        <is>
          <t>BUY</t>
        </is>
      </c>
      <c r="C118" s="16" t="n">
        <v>46048</v>
      </c>
      <c r="D118" s="17" t="n">
        <v>1000000</v>
      </c>
      <c r="E118" s="18" t="n">
        <v>867.46</v>
      </c>
      <c r="F118" s="18" t="n">
        <v>867.46</v>
      </c>
      <c r="G118" s="19" t="n">
        <v>1152.76</v>
      </c>
      <c r="H118" s="19" t="n"/>
      <c r="I118" s="19" t="n">
        <v>1366.35</v>
      </c>
      <c r="J118" s="19" t="n"/>
      <c r="K118" s="20">
        <f>IF(AND(B118="SELL",E118&gt;0,J118&lt;&gt;""),J118/E118,0)</f>
        <v/>
      </c>
      <c r="L118" s="20" t="n"/>
      <c r="M118" s="18">
        <f>IF(AND(B118="SELL",L118&gt;0),D118*L118,0)</f>
        <v/>
      </c>
      <c r="N118" s="14" t="n"/>
      <c r="O118" s="21">
        <f>IF(AND(B118="SELL",G118&lt;&gt;0),Q118/ABS(G118),0)</f>
        <v/>
      </c>
      <c r="P118" s="21">
        <f>IF(AND(B118="SELL",D118&gt;0),R118/D118,0)</f>
        <v/>
      </c>
      <c r="Q118" s="22">
        <f>IF(AND(B118="SELL",D118&gt;0,E118&gt;0),(D118/E118)+G118,0)</f>
        <v/>
      </c>
      <c r="R118" s="23">
        <f>IF(B118="SELL",Q118*F118,0)</f>
        <v/>
      </c>
      <c r="S118" s="24">
        <f>S117+R118</f>
        <v/>
      </c>
    </row>
    <row r="119" ht="15.75" customHeight="1" s="94">
      <c r="A119" s="46" t="n">
        <v>118</v>
      </c>
      <c r="B119" s="47" t="inlineStr">
        <is>
          <t>SELL</t>
        </is>
      </c>
      <c r="C119" s="48" t="n">
        <v>46048</v>
      </c>
      <c r="D119" s="49" t="n">
        <v>15000</v>
      </c>
      <c r="E119" s="50" t="n">
        <v>867.46</v>
      </c>
      <c r="F119" s="50" t="n">
        <v>867.46</v>
      </c>
      <c r="G119" s="51" t="n">
        <v>-15.76</v>
      </c>
      <c r="H119" s="51" t="n"/>
      <c r="I119" s="30" t="n">
        <v>1350.59</v>
      </c>
      <c r="J119" s="51" t="n">
        <v>477.7</v>
      </c>
      <c r="K119" s="52">
        <f>IF(AND(B119="SELL",E119&gt;0,J119&lt;&gt;""),J119/E119,0)</f>
        <v/>
      </c>
      <c r="L119" s="52" t="n">
        <v>0.502</v>
      </c>
      <c r="M119" s="50">
        <f>IF(AND(B119="SELL",L119&gt;0),D119*L119,0)</f>
        <v/>
      </c>
      <c r="N119" s="46" t="n"/>
      <c r="O119" s="53">
        <f>IF(AND(B119="SELL",G119&lt;&gt;0),Q119/ABS(G119),0)</f>
        <v/>
      </c>
      <c r="P119" s="53">
        <f>IF(AND(B119="SELL",D119&gt;0),R119/D119,0)</f>
        <v/>
      </c>
      <c r="Q119" s="54">
        <f>IF(AND(B119="SELL",D119&gt;0,E119&gt;0),(D119/E119)+G119,0)</f>
        <v/>
      </c>
      <c r="R119" s="55">
        <f>IF(B119="SELL",Q119*F119,0)</f>
        <v/>
      </c>
      <c r="S119" s="35">
        <f>S118+R119</f>
        <v/>
      </c>
    </row>
    <row r="120" ht="15.75" customHeight="1" s="94">
      <c r="A120" s="36" t="n">
        <v>119</v>
      </c>
      <c r="B120" s="37" t="inlineStr">
        <is>
          <t>SELL</t>
        </is>
      </c>
      <c r="C120" s="38" t="n">
        <v>46048</v>
      </c>
      <c r="D120" s="39" t="n">
        <v>20000</v>
      </c>
      <c r="E120" s="40" t="n">
        <v>867.46</v>
      </c>
      <c r="F120" s="40" t="n">
        <v>867.46</v>
      </c>
      <c r="G120" s="41" t="n">
        <v>-20.18</v>
      </c>
      <c r="H120" s="41" t="n"/>
      <c r="I120" s="19" t="n">
        <v>1330.41</v>
      </c>
      <c r="J120" s="41" t="n">
        <v>497.5</v>
      </c>
      <c r="K120" s="42">
        <f>IF(AND(B120="SELL",E120&gt;0,J120&lt;&gt;""),J120/E120,0)</f>
        <v/>
      </c>
      <c r="L120" s="42" t="n">
        <v>0.502</v>
      </c>
      <c r="M120" s="40">
        <f>IF(AND(B120="SELL",L120&gt;0),D120*L120,0)</f>
        <v/>
      </c>
      <c r="N120" s="36" t="n"/>
      <c r="O120" s="43">
        <f>IF(AND(B120="SELL",G120&lt;&gt;0),Q120/ABS(G120),0)</f>
        <v/>
      </c>
      <c r="P120" s="43">
        <f>IF(AND(B120="SELL",D120&gt;0),R120/D120,0)</f>
        <v/>
      </c>
      <c r="Q120" s="44">
        <f>IF(AND(B120="SELL",D120&gt;0,E120&gt;0),(D120/E120)+G120,0)</f>
        <v/>
      </c>
      <c r="R120" s="45">
        <f>IF(B120="SELL",Q120*F120,0)</f>
        <v/>
      </c>
      <c r="S120" s="24">
        <f>S119+R120</f>
        <v/>
      </c>
    </row>
    <row r="121" ht="15.75" customHeight="1" s="94">
      <c r="A121" s="46" t="n">
        <v>120</v>
      </c>
      <c r="B121" s="47" t="inlineStr">
        <is>
          <t>SELL</t>
        </is>
      </c>
      <c r="C121" s="48" t="n">
        <v>46049</v>
      </c>
      <c r="D121" s="49" t="n">
        <v>150000</v>
      </c>
      <c r="E121" s="50" t="n">
        <v>867.46</v>
      </c>
      <c r="F121" s="50" t="n">
        <v>867.46</v>
      </c>
      <c r="G121" s="51" t="n">
        <v>-152.79</v>
      </c>
      <c r="H121" s="51" t="n"/>
      <c r="I121" s="30" t="n">
        <v>1177.62</v>
      </c>
      <c r="J121" s="51" t="n">
        <v>544.85</v>
      </c>
      <c r="K121" s="52">
        <f>IF(AND(B121="SELL",E121&gt;0,J121&lt;&gt;""),J121/E121,0)</f>
        <v/>
      </c>
      <c r="L121" s="52" t="n">
        <v>0.555</v>
      </c>
      <c r="M121" s="50">
        <f>IF(AND(B121="SELL",L121&gt;0),D121*L121,0)</f>
        <v/>
      </c>
      <c r="N121" s="46" t="n"/>
      <c r="O121" s="53">
        <f>IF(AND(B121="SELL",G121&lt;&gt;0),Q121/ABS(G121),0)</f>
        <v/>
      </c>
      <c r="P121" s="53">
        <f>IF(AND(B121="SELL",D121&gt;0),R121/D121,0)</f>
        <v/>
      </c>
      <c r="Q121" s="54">
        <f>IF(AND(B121="SELL",D121&gt;0,E121&gt;0),(D121/E121)+G121,0)</f>
        <v/>
      </c>
      <c r="R121" s="55">
        <f>IF(B121="SELL",Q121*F121,0)</f>
        <v/>
      </c>
      <c r="S121" s="35">
        <f>S120+R121</f>
        <v/>
      </c>
    </row>
    <row r="122" ht="15.75" customHeight="1" s="94">
      <c r="A122" s="36" t="n">
        <v>121</v>
      </c>
      <c r="B122" s="37" t="inlineStr">
        <is>
          <t>SELL</t>
        </is>
      </c>
      <c r="C122" s="38" t="n">
        <v>46049</v>
      </c>
      <c r="D122" s="39" t="n">
        <v>150000</v>
      </c>
      <c r="E122" s="40" t="n">
        <v>867.46</v>
      </c>
      <c r="F122" s="40" t="n">
        <v>867.46</v>
      </c>
      <c r="G122" s="41" t="n">
        <v>-152.61</v>
      </c>
      <c r="H122" s="41" t="n"/>
      <c r="I122" s="19" t="n">
        <v>1025.01</v>
      </c>
      <c r="J122" s="41" t="n">
        <v>545.48</v>
      </c>
      <c r="K122" s="42">
        <f>IF(AND(B122="SELL",E122&gt;0,J122&lt;&gt;""),J122/E122,0)</f>
        <v/>
      </c>
      <c r="L122" s="42" t="n">
        <v>0.555</v>
      </c>
      <c r="M122" s="40">
        <f>IF(AND(B122="SELL",L122&gt;0),D122*L122,0)</f>
        <v/>
      </c>
      <c r="N122" s="36" t="n"/>
      <c r="O122" s="43">
        <f>IF(AND(B122="SELL",G122&lt;&gt;0),Q122/ABS(G122),0)</f>
        <v/>
      </c>
      <c r="P122" s="43">
        <f>IF(AND(B122="SELL",D122&gt;0),R122/D122,0)</f>
        <v/>
      </c>
      <c r="Q122" s="44">
        <f>IF(AND(B122="SELL",D122&gt;0,E122&gt;0),(D122/E122)+G122,0)</f>
        <v/>
      </c>
      <c r="R122" s="45">
        <f>IF(B122="SELL",Q122*F122,0)</f>
        <v/>
      </c>
      <c r="S122" s="24">
        <f>S121+R122</f>
        <v/>
      </c>
    </row>
    <row r="123" ht="15.75" customHeight="1" s="94">
      <c r="A123" s="46" t="n">
        <v>122</v>
      </c>
      <c r="B123" s="47" t="inlineStr">
        <is>
          <t>SELL</t>
        </is>
      </c>
      <c r="C123" s="48" t="n">
        <v>46049</v>
      </c>
      <c r="D123" s="49" t="n">
        <v>10000</v>
      </c>
      <c r="E123" s="50" t="n">
        <v>867.46</v>
      </c>
      <c r="F123" s="50" t="n">
        <v>867.46</v>
      </c>
      <c r="G123" s="51" t="n">
        <v>-10.36</v>
      </c>
      <c r="H123" s="51" t="n"/>
      <c r="I123" s="30" t="n">
        <v>1014.65</v>
      </c>
      <c r="J123" s="51" t="n">
        <v>535.5</v>
      </c>
      <c r="K123" s="52">
        <f>IF(AND(B123="SELL",E123&gt;0,J123&lt;&gt;""),J123/E123,0)</f>
        <v/>
      </c>
      <c r="L123" s="52" t="n">
        <v>0.555</v>
      </c>
      <c r="M123" s="50">
        <f>IF(AND(B123="SELL",L123&gt;0),D123*L123,0)</f>
        <v/>
      </c>
      <c r="N123" s="46" t="n"/>
      <c r="O123" s="53">
        <f>IF(AND(B123="SELL",G123&lt;&gt;0),Q123/ABS(G123),0)</f>
        <v/>
      </c>
      <c r="P123" s="53">
        <f>IF(AND(B123="SELL",D123&gt;0),R123/D123,0)</f>
        <v/>
      </c>
      <c r="Q123" s="54">
        <f>IF(AND(B123="SELL",D123&gt;0,E123&gt;0),(D123/E123)+G123,0)</f>
        <v/>
      </c>
      <c r="R123" s="55">
        <f>IF(B123="SELL",Q123*F123,0)</f>
        <v/>
      </c>
      <c r="S123" s="35">
        <f>S122+R123</f>
        <v/>
      </c>
    </row>
    <row r="124" ht="15.75" customHeight="1" s="94">
      <c r="A124" s="36" t="n">
        <v>123</v>
      </c>
      <c r="B124" s="37" t="inlineStr">
        <is>
          <t>SELL</t>
        </is>
      </c>
      <c r="C124" s="38" t="n">
        <v>46049</v>
      </c>
      <c r="D124" s="39" t="n">
        <v>100000</v>
      </c>
      <c r="E124" s="40" t="n">
        <v>867.46</v>
      </c>
      <c r="F124" s="40" t="n">
        <v>867.46</v>
      </c>
      <c r="G124" s="41" t="n">
        <v>-101.71</v>
      </c>
      <c r="H124" s="41" t="n"/>
      <c r="I124" s="19" t="n">
        <v>912.940000000001</v>
      </c>
      <c r="J124" s="41" t="n">
        <v>545.62</v>
      </c>
      <c r="K124" s="42">
        <f>IF(AND(B124="SELL",E124&gt;0,J124&lt;&gt;""),J124/E124,0)</f>
        <v/>
      </c>
      <c r="L124" s="42" t="n">
        <v>0.555</v>
      </c>
      <c r="M124" s="40">
        <f>IF(AND(B124="SELL",L124&gt;0),D124*L124,0)</f>
        <v/>
      </c>
      <c r="N124" s="36" t="n"/>
      <c r="O124" s="43">
        <f>IF(AND(B124="SELL",G124&lt;&gt;0),Q124/ABS(G124),0)</f>
        <v/>
      </c>
      <c r="P124" s="43">
        <f>IF(AND(B124="SELL",D124&gt;0),R124/D124,0)</f>
        <v/>
      </c>
      <c r="Q124" s="44">
        <f>IF(AND(B124="SELL",D124&gt;0,E124&gt;0),(D124/E124)+G124,0)</f>
        <v/>
      </c>
      <c r="R124" s="45">
        <f>IF(B124="SELL",Q124*F124,0)</f>
        <v/>
      </c>
      <c r="S124" s="24">
        <f>S123+R124</f>
        <v/>
      </c>
    </row>
    <row r="125" ht="15.75" customHeight="1" s="94">
      <c r="A125" s="46" t="n">
        <v>124</v>
      </c>
      <c r="B125" s="47" t="inlineStr">
        <is>
          <t>SELL</t>
        </is>
      </c>
      <c r="C125" s="48" t="n">
        <v>46050</v>
      </c>
      <c r="D125" s="49" t="n">
        <v>33000</v>
      </c>
      <c r="E125" s="50" t="n">
        <v>867.46</v>
      </c>
      <c r="F125" s="50" t="n">
        <v>867.46</v>
      </c>
      <c r="G125" s="51" t="n">
        <v>-37.31</v>
      </c>
      <c r="H125" s="51" t="n"/>
      <c r="I125" s="30" t="n">
        <v>875.630000000001</v>
      </c>
      <c r="J125" s="51" t="n">
        <v>508.5</v>
      </c>
      <c r="K125" s="52">
        <f>IF(AND(B125="SELL",E125&gt;0,J125&lt;&gt;""),J125/E125,0)</f>
        <v/>
      </c>
      <c r="L125" s="52" t="n">
        <v>0.575</v>
      </c>
      <c r="M125" s="50">
        <f>IF(AND(B125="SELL",L125&gt;0),D125*L125,0)</f>
        <v/>
      </c>
      <c r="N125" s="46" t="n"/>
      <c r="O125" s="53">
        <f>IF(AND(B125="SELL",G125&lt;&gt;0),Q125/ABS(G125),0)</f>
        <v/>
      </c>
      <c r="P125" s="53">
        <f>IF(AND(B125="SELL",D125&gt;0),R125/D125,0)</f>
        <v/>
      </c>
      <c r="Q125" s="54">
        <f>IF(AND(B125="SELL",D125&gt;0,E125&gt;0),(D125/E125)+G125,0)</f>
        <v/>
      </c>
      <c r="R125" s="55">
        <f>IF(B125="SELL",Q125*F125,0)</f>
        <v/>
      </c>
      <c r="S125" s="35">
        <f>S124+R125</f>
        <v/>
      </c>
    </row>
    <row r="126" ht="15.75" customHeight="1" s="94">
      <c r="A126" s="36" t="n">
        <v>125</v>
      </c>
      <c r="B126" s="37" t="inlineStr">
        <is>
          <t>SELL</t>
        </is>
      </c>
      <c r="C126" s="38" t="n">
        <v>46050</v>
      </c>
      <c r="D126" s="39" t="n">
        <v>30000</v>
      </c>
      <c r="E126" s="40" t="n">
        <v>867.46</v>
      </c>
      <c r="F126" s="40" t="n">
        <v>867.46</v>
      </c>
      <c r="G126" s="41" t="n">
        <v>-33.88</v>
      </c>
      <c r="H126" s="41" t="n"/>
      <c r="I126" s="19" t="n">
        <v>841.750000000001</v>
      </c>
      <c r="J126" s="41" t="n">
        <v>509.13</v>
      </c>
      <c r="K126" s="42">
        <f>IF(AND(B126="SELL",E126&gt;0,J126&lt;&gt;""),J126/E126,0)</f>
        <v/>
      </c>
      <c r="L126" s="42" t="n">
        <v>0.575</v>
      </c>
      <c r="M126" s="40">
        <f>IF(AND(B126="SELL",L126&gt;0),D126*L126,0)</f>
        <v/>
      </c>
      <c r="N126" s="36" t="n"/>
      <c r="O126" s="43">
        <f>IF(AND(B126="SELL",G126&lt;&gt;0),Q126/ABS(G126),0)</f>
        <v/>
      </c>
      <c r="P126" s="43">
        <f>IF(AND(B126="SELL",D126&gt;0),R126/D126,0)</f>
        <v/>
      </c>
      <c r="Q126" s="44">
        <f>IF(AND(B126="SELL",D126&gt;0,E126&gt;0),(D126/E126)+G126,0)</f>
        <v/>
      </c>
      <c r="R126" s="45">
        <f>IF(B126="SELL",Q126*F126,0)</f>
        <v/>
      </c>
      <c r="S126" s="24">
        <f>S125+R126</f>
        <v/>
      </c>
    </row>
    <row r="127" ht="15.75" customHeight="1" s="94">
      <c r="A127" s="25" t="n">
        <v>126</v>
      </c>
      <c r="B127" s="26" t="inlineStr">
        <is>
          <t>BUY</t>
        </is>
      </c>
      <c r="C127" s="27" t="n">
        <v>46050</v>
      </c>
      <c r="D127" s="28" t="n">
        <v>1567000</v>
      </c>
      <c r="E127" s="29" t="n">
        <v>867.46</v>
      </c>
      <c r="F127" s="29" t="n">
        <v>867.46</v>
      </c>
      <c r="G127" s="30" t="n">
        <v>1821.79</v>
      </c>
      <c r="H127" s="30" t="n"/>
      <c r="I127" s="30" t="n">
        <v>2663.54</v>
      </c>
      <c r="J127" s="30" t="n"/>
      <c r="K127" s="31">
        <f>IF(AND(B127="SELL",E127&gt;0,J127&lt;&gt;""),J127/E127,0)</f>
        <v/>
      </c>
      <c r="L127" s="31" t="n"/>
      <c r="M127" s="29">
        <f>IF(AND(B127="SELL",L127&gt;0),D127*L127,0)</f>
        <v/>
      </c>
      <c r="N127" s="25" t="n"/>
      <c r="O127" s="32">
        <f>IF(AND(B127="SELL",G127&lt;&gt;0),Q127/ABS(G127),0)</f>
        <v/>
      </c>
      <c r="P127" s="32">
        <f>IF(AND(B127="SELL",D127&gt;0),R127/D127,0)</f>
        <v/>
      </c>
      <c r="Q127" s="33">
        <f>IF(AND(B127="SELL",D127&gt;0,E127&gt;0),(D127/E127)+G127,0)</f>
        <v/>
      </c>
      <c r="R127" s="34">
        <f>IF(B127="SELL",Q127*F127,0)</f>
        <v/>
      </c>
      <c r="S127" s="35">
        <f>S126+R127</f>
        <v/>
      </c>
    </row>
    <row r="128" ht="15.75" customHeight="1" s="94">
      <c r="A128" s="36" t="n">
        <v>127</v>
      </c>
      <c r="B128" s="37" t="inlineStr">
        <is>
          <t>SELL</t>
        </is>
      </c>
      <c r="C128" s="38" t="n">
        <v>46050</v>
      </c>
      <c r="D128" s="39" t="n">
        <v>1567000</v>
      </c>
      <c r="E128" s="40" t="n">
        <v>867.46</v>
      </c>
      <c r="F128" s="40" t="n">
        <v>867.46</v>
      </c>
      <c r="G128" s="41" t="n">
        <v>-1700</v>
      </c>
      <c r="H128" s="41" t="n"/>
      <c r="I128" s="19" t="n">
        <v>963.540000000001</v>
      </c>
      <c r="J128" s="41" t="n">
        <v>860.14</v>
      </c>
      <c r="K128" s="42">
        <f>IF(AND(B128="SELL",E128&gt;0,J128&lt;&gt;""),J128/E128,0)</f>
        <v/>
      </c>
      <c r="L128" s="42" t="n">
        <v>0.00109</v>
      </c>
      <c r="M128" s="40">
        <f>IF(AND(B128="SELL",L128&gt;0),D128*L128,0)</f>
        <v/>
      </c>
      <c r="N128" s="36" t="inlineStr">
        <is>
          <t>Traspaso USDT</t>
        </is>
      </c>
      <c r="O128" s="43">
        <f>IF(AND(B128="SELL",G128&lt;&gt;0),Q128/ABS(G128),0)</f>
        <v/>
      </c>
      <c r="P128" s="43">
        <f>IF(AND(B128="SELL",D128&gt;0),R128/D128,0)</f>
        <v/>
      </c>
      <c r="Q128" s="44">
        <f>IF(AND(B128="SELL",D128&gt;0,E128&gt;0),(D128/E128)+G128,0)</f>
        <v/>
      </c>
      <c r="R128" s="45">
        <f>IF(B128="SELL",Q128*F128,0)</f>
        <v/>
      </c>
      <c r="S128" s="24">
        <f>S127+R128</f>
        <v/>
      </c>
    </row>
    <row r="129" ht="15.75" customHeight="1" s="94">
      <c r="A129" s="46" t="n">
        <v>128</v>
      </c>
      <c r="B129" s="47" t="inlineStr">
        <is>
          <t>SELL</t>
        </is>
      </c>
      <c r="C129" s="48" t="n">
        <v>46050</v>
      </c>
      <c r="D129" s="49" t="n">
        <v>20000</v>
      </c>
      <c r="E129" s="50" t="n">
        <v>860.14</v>
      </c>
      <c r="F129" s="50" t="n">
        <v>860.14</v>
      </c>
      <c r="G129" s="51" t="n">
        <v>-22.77</v>
      </c>
      <c r="H129" s="51" t="n"/>
      <c r="I129" s="30" t="n">
        <v>940.770000000001</v>
      </c>
      <c r="J129" s="51" t="n">
        <v>505.025</v>
      </c>
      <c r="K129" s="52">
        <f>IF(AND(B129="SELL",E129&gt;0,J129&lt;&gt;""),J129/E129,0)</f>
        <v/>
      </c>
      <c r="L129" s="52" t="n">
        <v>0.575</v>
      </c>
      <c r="M129" s="50">
        <f>IF(AND(B129="SELL",L129&gt;0),D129*L129,0)</f>
        <v/>
      </c>
      <c r="N129" s="46" t="inlineStr">
        <is>
          <t>Actualizacion de Valor USDT</t>
        </is>
      </c>
      <c r="O129" s="53">
        <f>IF(AND(B129="SELL",G129&lt;&gt;0),Q129/ABS(G129),0)</f>
        <v/>
      </c>
      <c r="P129" s="53">
        <f>IF(AND(B129="SELL",D129&gt;0),R129/D129,0)</f>
        <v/>
      </c>
      <c r="Q129" s="54">
        <f>IF(AND(B129="SELL",D129&gt;0,E129&gt;0),(D129/E129)+G129,0)</f>
        <v/>
      </c>
      <c r="R129" s="55">
        <f>IF(B129="SELL",Q129*F129,0)</f>
        <v/>
      </c>
      <c r="S129" s="35">
        <f>S128+R129</f>
        <v/>
      </c>
    </row>
    <row r="130" ht="15.75" customHeight="1" s="94">
      <c r="A130" s="36" t="n">
        <v>129</v>
      </c>
      <c r="B130" s="37" t="inlineStr">
        <is>
          <t>SELL</t>
        </is>
      </c>
      <c r="C130" s="38" t="n">
        <v>46050</v>
      </c>
      <c r="D130" s="39" t="n">
        <v>17500</v>
      </c>
      <c r="E130" s="40" t="n">
        <v>860.14</v>
      </c>
      <c r="F130" s="40" t="n">
        <v>860.14</v>
      </c>
      <c r="G130" s="41" t="n">
        <v>-19.7</v>
      </c>
      <c r="H130" s="41" t="n"/>
      <c r="I130" s="19" t="n">
        <v>921.070000000001</v>
      </c>
      <c r="J130" s="41" t="n">
        <v>507.6</v>
      </c>
      <c r="K130" s="42">
        <f>IF(AND(B130="SELL",E130&gt;0,J130&lt;&gt;""),J130/E130,0)</f>
        <v/>
      </c>
      <c r="L130" s="42" t="n">
        <v>0.575</v>
      </c>
      <c r="M130" s="40">
        <f>IF(AND(B130="SELL",L130&gt;0),D130*L130,0)</f>
        <v/>
      </c>
      <c r="N130" s="36" t="n"/>
      <c r="O130" s="43">
        <f>IF(AND(B130="SELL",G130&lt;&gt;0),Q130/ABS(G130),0)</f>
        <v/>
      </c>
      <c r="P130" s="43">
        <f>IF(AND(B130="SELL",D130&gt;0),R130/D130,0)</f>
        <v/>
      </c>
      <c r="Q130" s="44">
        <f>IF(AND(B130="SELL",D130&gt;0,E130&gt;0),(D130/E130)+G130,0)</f>
        <v/>
      </c>
      <c r="R130" s="45">
        <f>IF(B130="SELL",Q130*F130,0)</f>
        <v/>
      </c>
      <c r="S130" s="24">
        <f>S129+R130</f>
        <v/>
      </c>
    </row>
    <row r="131" ht="15.75" customHeight="1" s="94">
      <c r="A131" s="46" t="n">
        <v>130</v>
      </c>
      <c r="B131" s="47" t="inlineStr">
        <is>
          <t>SELL</t>
        </is>
      </c>
      <c r="C131" s="48" t="n">
        <v>46050</v>
      </c>
      <c r="D131" s="49" t="n">
        <v>55000</v>
      </c>
      <c r="E131" s="50" t="n">
        <v>860.14</v>
      </c>
      <c r="F131" s="50" t="n">
        <v>860.14</v>
      </c>
      <c r="G131" s="51" t="n">
        <v>-62.42</v>
      </c>
      <c r="H131" s="51" t="n"/>
      <c r="I131" s="30" t="n">
        <v>858.650000000001</v>
      </c>
      <c r="J131" s="51" t="n">
        <v>506.6</v>
      </c>
      <c r="K131" s="52">
        <f>IF(AND(B131="SELL",E131&gt;0,J131&lt;&gt;""),J131/E131,0)</f>
        <v/>
      </c>
      <c r="L131" s="52" t="n">
        <v>0.575</v>
      </c>
      <c r="M131" s="50">
        <f>IF(AND(B131="SELL",L131&gt;0),D131*L131,0)</f>
        <v/>
      </c>
      <c r="N131" s="46" t="n"/>
      <c r="O131" s="53">
        <f>IF(AND(B131="SELL",G131&lt;&gt;0),Q131/ABS(G131),0)</f>
        <v/>
      </c>
      <c r="P131" s="53">
        <f>IF(AND(B131="SELL",D131&gt;0),R131/D131,0)</f>
        <v/>
      </c>
      <c r="Q131" s="54">
        <f>IF(AND(B131="SELL",D131&gt;0,E131&gt;0),(D131/E131)+G131,0)</f>
        <v/>
      </c>
      <c r="R131" s="55">
        <f>IF(B131="SELL",Q131*F131,0)</f>
        <v/>
      </c>
      <c r="S131" s="35">
        <f>S130+R131</f>
        <v/>
      </c>
    </row>
    <row r="132" ht="15.75" customHeight="1" s="94">
      <c r="A132" s="36" t="n">
        <v>131</v>
      </c>
      <c r="B132" s="37" t="inlineStr">
        <is>
          <t>SELL</t>
        </is>
      </c>
      <c r="C132" s="38" t="n">
        <v>46050</v>
      </c>
      <c r="D132" s="39" t="n">
        <v>20000</v>
      </c>
      <c r="E132" s="40" t="n">
        <v>860.14</v>
      </c>
      <c r="F132" s="40" t="n">
        <v>860.14</v>
      </c>
      <c r="G132" s="41" t="n">
        <v>-21.62</v>
      </c>
      <c r="H132" s="41" t="n"/>
      <c r="I132" s="19" t="n">
        <v>837.030000000001</v>
      </c>
      <c r="J132" s="41" t="n">
        <v>516</v>
      </c>
      <c r="K132" s="42">
        <f>IF(AND(B132="SELL",E132&gt;0,J132&lt;&gt;""),J132/E132,0)</f>
        <v/>
      </c>
      <c r="L132" s="42" t="n">
        <v>0.5580000000000001</v>
      </c>
      <c r="M132" s="40">
        <f>IF(AND(B132="SELL",L132&gt;0),D132*L132,0)</f>
        <v/>
      </c>
      <c r="N132" s="36" t="n"/>
      <c r="O132" s="43">
        <f>IF(AND(B132="SELL",G132&lt;&gt;0),Q132/ABS(G132),0)</f>
        <v/>
      </c>
      <c r="P132" s="43">
        <f>IF(AND(B132="SELL",D132&gt;0),R132/D132,0)</f>
        <v/>
      </c>
      <c r="Q132" s="44">
        <f>IF(AND(B132="SELL",D132&gt;0,E132&gt;0),(D132/E132)+G132,0)</f>
        <v/>
      </c>
      <c r="R132" s="45">
        <f>IF(B132="SELL",Q132*F132,0)</f>
        <v/>
      </c>
      <c r="S132" s="24">
        <f>S131+R132</f>
        <v/>
      </c>
    </row>
    <row r="133" ht="15.75" customHeight="1" s="94">
      <c r="A133" s="46" t="n">
        <v>132</v>
      </c>
      <c r="B133" s="47" t="inlineStr">
        <is>
          <t>SELL</t>
        </is>
      </c>
      <c r="C133" s="48" t="n">
        <v>46050</v>
      </c>
      <c r="D133" s="49" t="n">
        <v>40000</v>
      </c>
      <c r="E133" s="50" t="n">
        <v>860.14</v>
      </c>
      <c r="F133" s="50" t="n">
        <v>860.14</v>
      </c>
      <c r="G133" s="51" t="n">
        <v>-42.99</v>
      </c>
      <c r="H133" s="51" t="n"/>
      <c r="I133" s="30" t="n">
        <v>794.040000000001</v>
      </c>
      <c r="J133" s="51" t="n">
        <v>519.1</v>
      </c>
      <c r="K133" s="52">
        <f>IF(AND(B133="SELL",E133&gt;0,J133&lt;&gt;""),J133/E133,0)</f>
        <v/>
      </c>
      <c r="L133" s="52" t="n">
        <v>0.5580000000000001</v>
      </c>
      <c r="M133" s="50">
        <f>IF(AND(B133="SELL",L133&gt;0),D133*L133,0)</f>
        <v/>
      </c>
      <c r="N133" s="46" t="n"/>
      <c r="O133" s="53">
        <f>IF(AND(B133="SELL",G133&lt;&gt;0),Q133/ABS(G133),0)</f>
        <v/>
      </c>
      <c r="P133" s="53">
        <f>IF(AND(B133="SELL",D133&gt;0),R133/D133,0)</f>
        <v/>
      </c>
      <c r="Q133" s="54">
        <f>IF(AND(B133="SELL",D133&gt;0,E133&gt;0),(D133/E133)+G133,0)</f>
        <v/>
      </c>
      <c r="R133" s="55">
        <f>IF(B133="SELL",Q133*F133,0)</f>
        <v/>
      </c>
      <c r="S133" s="35">
        <f>S132+R133</f>
        <v/>
      </c>
    </row>
    <row r="134" ht="15.75" customHeight="1" s="94">
      <c r="A134" s="36" t="n">
        <v>133</v>
      </c>
      <c r="B134" s="37" t="inlineStr">
        <is>
          <t>SELL</t>
        </is>
      </c>
      <c r="C134" s="38" t="n">
        <v>46051</v>
      </c>
      <c r="D134" s="39" t="n">
        <v>40000</v>
      </c>
      <c r="E134" s="40" t="n">
        <v>860.14</v>
      </c>
      <c r="F134" s="40" t="n">
        <v>860.14</v>
      </c>
      <c r="G134" s="41" t="n">
        <v>-43.48</v>
      </c>
      <c r="H134" s="41" t="n"/>
      <c r="I134" s="19" t="n">
        <v>750.560000000001</v>
      </c>
      <c r="J134" s="41" t="n">
        <v>526.1</v>
      </c>
      <c r="K134" s="42">
        <f>IF(AND(B134="SELL",E134&gt;0,J134&lt;&gt;""),J134/E134,0)</f>
        <v/>
      </c>
      <c r="L134" s="42" t="n">
        <v>0.572</v>
      </c>
      <c r="M134" s="40">
        <f>IF(AND(B134="SELL",L134&gt;0),D134*L134,0)</f>
        <v/>
      </c>
      <c r="N134" s="36" t="n"/>
      <c r="O134" s="43">
        <f>IF(AND(B134="SELL",G134&lt;&gt;0),Q134/ABS(G134),0)</f>
        <v/>
      </c>
      <c r="P134" s="43">
        <f>IF(AND(B134="SELL",D134&gt;0),R134/D134,0)</f>
        <v/>
      </c>
      <c r="Q134" s="44">
        <f>IF(AND(B134="SELL",D134&gt;0,E134&gt;0),(D134/E134)+G134,0)</f>
        <v/>
      </c>
      <c r="R134" s="45">
        <f>IF(B134="SELL",Q134*F134,0)</f>
        <v/>
      </c>
      <c r="S134" s="24">
        <f>S133+R134</f>
        <v/>
      </c>
    </row>
    <row r="135" ht="15.75" customHeight="1" s="94">
      <c r="A135" s="46" t="n">
        <v>134</v>
      </c>
      <c r="B135" s="47" t="inlineStr">
        <is>
          <t>SELL</t>
        </is>
      </c>
      <c r="C135" s="48" t="n">
        <v>46051</v>
      </c>
      <c r="D135" s="49" t="n">
        <v>30000</v>
      </c>
      <c r="E135" s="50" t="n">
        <v>860.14</v>
      </c>
      <c r="F135" s="50" t="n">
        <v>860.14</v>
      </c>
      <c r="G135" s="51" t="n">
        <v>-33.27</v>
      </c>
      <c r="H135" s="51" t="n"/>
      <c r="I135" s="30" t="n">
        <v>717.290000000001</v>
      </c>
      <c r="J135" s="51" t="n">
        <v>515.65</v>
      </c>
      <c r="K135" s="52">
        <f>IF(AND(B135="SELL",E135&gt;0,J135&lt;&gt;""),J135/E135,0)</f>
        <v/>
      </c>
      <c r="L135" s="52" t="n">
        <v>0.572</v>
      </c>
      <c r="M135" s="50">
        <f>IF(AND(B135="SELL",L135&gt;0),D135*L135,0)</f>
        <v/>
      </c>
      <c r="N135" s="46" t="n"/>
      <c r="O135" s="53">
        <f>IF(AND(B135="SELL",G135&lt;&gt;0),Q135/ABS(G135),0)</f>
        <v/>
      </c>
      <c r="P135" s="53">
        <f>IF(AND(B135="SELL",D135&gt;0),R135/D135,0)</f>
        <v/>
      </c>
      <c r="Q135" s="54">
        <f>IF(AND(B135="SELL",D135&gt;0,E135&gt;0),(D135/E135)+G135,0)</f>
        <v/>
      </c>
      <c r="R135" s="55">
        <f>IF(B135="SELL",Q135*F135,0)</f>
        <v/>
      </c>
      <c r="S135" s="35">
        <f>S134+R135</f>
        <v/>
      </c>
    </row>
    <row r="136" ht="15.75" customHeight="1" s="94">
      <c r="A136" s="36" t="n">
        <v>135</v>
      </c>
      <c r="B136" s="37" t="inlineStr">
        <is>
          <t>SELL</t>
        </is>
      </c>
      <c r="C136" s="38" t="n">
        <v>46051</v>
      </c>
      <c r="D136" s="39" t="n">
        <v>191000</v>
      </c>
      <c r="E136" s="40" t="n">
        <v>860.14</v>
      </c>
      <c r="F136" s="40" t="n">
        <v>860.14</v>
      </c>
      <c r="G136" s="41" t="n">
        <v>-208.57</v>
      </c>
      <c r="H136" s="41" t="n"/>
      <c r="I136" s="19" t="n">
        <v>508.720000000001</v>
      </c>
      <c r="J136" s="41" t="n">
        <v>523.8</v>
      </c>
      <c r="K136" s="42">
        <f>IF(AND(B136="SELL",E136&gt;0,J136&lt;&gt;""),J136/E136,0)</f>
        <v/>
      </c>
      <c r="L136" s="42" t="n">
        <v>0.572</v>
      </c>
      <c r="M136" s="40">
        <f>IF(AND(B136="SELL",L136&gt;0),D136*L136,0)</f>
        <v/>
      </c>
      <c r="N136" s="36" t="n"/>
      <c r="O136" s="43">
        <f>IF(AND(B136="SELL",G136&lt;&gt;0),Q136/ABS(G136),0)</f>
        <v/>
      </c>
      <c r="P136" s="43">
        <f>IF(AND(B136="SELL",D136&gt;0),R136/D136,0)</f>
        <v/>
      </c>
      <c r="Q136" s="44">
        <f>IF(AND(B136="SELL",D136&gt;0,E136&gt;0),(D136/E136)+G136,0)</f>
        <v/>
      </c>
      <c r="R136" s="45">
        <f>IF(B136="SELL",Q136*F136,0)</f>
        <v/>
      </c>
      <c r="S136" s="24">
        <f>S135+R136</f>
        <v/>
      </c>
    </row>
    <row r="137" ht="15.75" customHeight="1" s="94">
      <c r="A137" s="46" t="n">
        <v>136</v>
      </c>
      <c r="B137" s="47" t="inlineStr">
        <is>
          <t>SELL</t>
        </is>
      </c>
      <c r="C137" s="48" t="n">
        <v>46051</v>
      </c>
      <c r="D137" s="49" t="n">
        <v>10000</v>
      </c>
      <c r="E137" s="50" t="n">
        <v>860.14</v>
      </c>
      <c r="F137" s="50" t="n">
        <v>860.14</v>
      </c>
      <c r="G137" s="51" t="n">
        <v>-11.57</v>
      </c>
      <c r="H137" s="51" t="n"/>
      <c r="I137" s="30" t="n">
        <v>497.150000000001</v>
      </c>
      <c r="J137" s="51" t="n">
        <v>494.11</v>
      </c>
      <c r="K137" s="52">
        <f>IF(AND(B137="SELL",E137&gt;0,J137&lt;&gt;""),J137/E137,0)</f>
        <v/>
      </c>
      <c r="L137" s="52" t="n">
        <v>0.572</v>
      </c>
      <c r="M137" s="50">
        <f>IF(AND(B137="SELL",L137&gt;0),D137*L137,0)</f>
        <v/>
      </c>
      <c r="N137" s="46" t="n"/>
      <c r="O137" s="53">
        <f>IF(AND(B137="SELL",G137&lt;&gt;0),Q137/ABS(G137),0)</f>
        <v/>
      </c>
      <c r="P137" s="53">
        <f>IF(AND(B137="SELL",D137&gt;0),R137/D137,0)</f>
        <v/>
      </c>
      <c r="Q137" s="54">
        <f>IF(AND(B137="SELL",D137&gt;0,E137&gt;0),(D137/E137)+G137,0)</f>
        <v/>
      </c>
      <c r="R137" s="55">
        <f>IF(B137="SELL",Q137*F137,0)</f>
        <v/>
      </c>
      <c r="S137" s="35">
        <f>S136+R137</f>
        <v/>
      </c>
    </row>
    <row r="138" ht="15.75" customHeight="1" s="94">
      <c r="A138" s="36" t="n">
        <v>137</v>
      </c>
      <c r="B138" s="37" t="inlineStr">
        <is>
          <t>SELL</t>
        </is>
      </c>
      <c r="C138" s="38" t="n">
        <v>46051</v>
      </c>
      <c r="D138" s="39" t="n">
        <v>60000</v>
      </c>
      <c r="E138" s="40" t="n">
        <v>860.14</v>
      </c>
      <c r="F138" s="40" t="n">
        <v>860.14</v>
      </c>
      <c r="G138" s="41" t="n">
        <v>-62.73</v>
      </c>
      <c r="H138" s="41" t="n"/>
      <c r="I138" s="19" t="n">
        <v>434.420000000001</v>
      </c>
      <c r="J138" s="41" t="n">
        <v>507.911</v>
      </c>
      <c r="K138" s="42">
        <f>IF(AND(B138="SELL",E138&gt;0,J138&lt;&gt;""),J138/E138,0)</f>
        <v/>
      </c>
      <c r="L138" s="42" t="n">
        <v>0.531</v>
      </c>
      <c r="M138" s="40">
        <f>IF(AND(B138="SELL",L138&gt;0),D138*L138,0)</f>
        <v/>
      </c>
      <c r="N138" s="36" t="n"/>
      <c r="O138" s="43">
        <f>IF(AND(B138="SELL",G138&lt;&gt;0),Q138/ABS(G138),0)</f>
        <v/>
      </c>
      <c r="P138" s="43">
        <f>IF(AND(B138="SELL",D138&gt;0),R138/D138,0)</f>
        <v/>
      </c>
      <c r="Q138" s="44">
        <f>IF(AND(B138="SELL",D138&gt;0,E138&gt;0),(D138/E138)+G138,0)</f>
        <v/>
      </c>
      <c r="R138" s="45">
        <f>IF(B138="SELL",Q138*F138,0)</f>
        <v/>
      </c>
      <c r="S138" s="24">
        <f>S137+R138</f>
        <v/>
      </c>
    </row>
    <row r="139" ht="15.75" customHeight="1" s="94">
      <c r="A139" s="46" t="n">
        <v>138</v>
      </c>
      <c r="B139" s="47" t="inlineStr">
        <is>
          <t>SELL</t>
        </is>
      </c>
      <c r="C139" s="48" t="n">
        <v>46052</v>
      </c>
      <c r="D139" s="49" t="n">
        <v>20000</v>
      </c>
      <c r="E139" s="50" t="n">
        <v>860.14</v>
      </c>
      <c r="F139" s="50" t="n">
        <v>860.14</v>
      </c>
      <c r="G139" s="51" t="n">
        <v>-20.76</v>
      </c>
      <c r="H139" s="51" t="n"/>
      <c r="I139" s="30" t="n">
        <v>413.660000000001</v>
      </c>
      <c r="J139" s="51" t="n">
        <v>511.36</v>
      </c>
      <c r="K139" s="52">
        <f>IF(AND(B139="SELL",E139&gt;0,J139&lt;&gt;""),J139/E139,0)</f>
        <v/>
      </c>
      <c r="L139" s="52" t="n">
        <v>0.531</v>
      </c>
      <c r="M139" s="50">
        <f>IF(AND(B139="SELL",L139&gt;0),D139*L139,0)</f>
        <v/>
      </c>
      <c r="N139" s="46" t="n"/>
      <c r="O139" s="53">
        <f>IF(AND(B139="SELL",G139&lt;&gt;0),Q139/ABS(G139),0)</f>
        <v/>
      </c>
      <c r="P139" s="53">
        <f>IF(AND(B139="SELL",D139&gt;0),R139/D139,0)</f>
        <v/>
      </c>
      <c r="Q139" s="54">
        <f>IF(AND(B139="SELL",D139&gt;0,E139&gt;0),(D139/E139)+G139,0)</f>
        <v/>
      </c>
      <c r="R139" s="55">
        <f>IF(B139="SELL",Q139*F139,0)</f>
        <v/>
      </c>
      <c r="S139" s="35">
        <f>S138+R139</f>
        <v/>
      </c>
    </row>
    <row r="140" ht="15.75" customHeight="1" s="94">
      <c r="A140" s="36" t="n">
        <v>139</v>
      </c>
      <c r="B140" s="37" t="inlineStr">
        <is>
          <t>SELL</t>
        </is>
      </c>
      <c r="C140" s="38" t="n">
        <v>46052</v>
      </c>
      <c r="D140" s="39" t="n">
        <v>150000</v>
      </c>
      <c r="E140" s="40" t="n">
        <v>860.14</v>
      </c>
      <c r="F140" s="40" t="n">
        <v>860.14</v>
      </c>
      <c r="G140" s="41" t="n">
        <v>-162.75</v>
      </c>
      <c r="H140" s="41" t="n"/>
      <c r="I140" s="19" t="n">
        <v>250.910000000001</v>
      </c>
      <c r="J140" s="41" t="n">
        <v>507.11</v>
      </c>
      <c r="K140" s="42">
        <f>IF(AND(B140="SELL",E140&gt;0,J140&lt;&gt;""),J140/E140,0)</f>
        <v/>
      </c>
      <c r="L140" s="42" t="n">
        <v>0.552</v>
      </c>
      <c r="M140" s="40">
        <f>IF(AND(B140="SELL",L140&gt;0),D140*L140,0)</f>
        <v/>
      </c>
      <c r="N140" s="36" t="n"/>
      <c r="O140" s="43">
        <f>IF(AND(B140="SELL",G140&lt;&gt;0),Q140/ABS(G140),0)</f>
        <v/>
      </c>
      <c r="P140" s="43">
        <f>IF(AND(B140="SELL",D140&gt;0),R140/D140,0)</f>
        <v/>
      </c>
      <c r="Q140" s="44">
        <f>IF(AND(B140="SELL",D140&gt;0,E140&gt;0),(D140/E140)+G140,0)</f>
        <v/>
      </c>
      <c r="R140" s="45">
        <f>IF(B140="SELL",Q140*F140,0)</f>
        <v/>
      </c>
      <c r="S140" s="24">
        <f>S139+R140</f>
        <v/>
      </c>
    </row>
    <row r="141" ht="15.75" customHeight="1" s="94">
      <c r="A141" s="46" t="n">
        <v>140</v>
      </c>
      <c r="B141" s="47" t="inlineStr">
        <is>
          <t>SELL</t>
        </is>
      </c>
      <c r="C141" s="48" t="n">
        <v>46052</v>
      </c>
      <c r="D141" s="49" t="n">
        <v>145000</v>
      </c>
      <c r="E141" s="50" t="n">
        <v>860.14</v>
      </c>
      <c r="F141" s="50" t="n">
        <v>860.14</v>
      </c>
      <c r="G141" s="51" t="n">
        <v>-157.83</v>
      </c>
      <c r="H141" s="51" t="n"/>
      <c r="I141" s="30" t="n">
        <v>93.08000000000089</v>
      </c>
      <c r="J141" s="51" t="n">
        <v>507.11</v>
      </c>
      <c r="K141" s="52">
        <f>IF(AND(B141="SELL",E141&gt;0,J141&lt;&gt;""),J141/E141,0)</f>
        <v/>
      </c>
      <c r="L141" s="52" t="n">
        <v>0.552</v>
      </c>
      <c r="M141" s="50">
        <f>IF(AND(B141="SELL",L141&gt;0),D141*L141,0)</f>
        <v/>
      </c>
      <c r="N141" s="46" t="n"/>
      <c r="O141" s="53">
        <f>IF(AND(B141="SELL",G141&lt;&gt;0),Q141/ABS(G141),0)</f>
        <v/>
      </c>
      <c r="P141" s="53">
        <f>IF(AND(B141="SELL",D141&gt;0),R141/D141,0)</f>
        <v/>
      </c>
      <c r="Q141" s="54">
        <f>IF(AND(B141="SELL",D141&gt;0,E141&gt;0),(D141/E141)+G141,0)</f>
        <v/>
      </c>
      <c r="R141" s="55">
        <f>IF(B141="SELL",Q141*F141,0)</f>
        <v/>
      </c>
      <c r="S141" s="35">
        <f>S140+R141</f>
        <v/>
      </c>
    </row>
    <row r="142" ht="15.75" customHeight="1" s="94">
      <c r="A142" s="36" t="n">
        <v>141</v>
      </c>
      <c r="B142" s="37" t="inlineStr">
        <is>
          <t>SELL</t>
        </is>
      </c>
      <c r="C142" s="38" t="n">
        <v>46052</v>
      </c>
      <c r="D142" s="39" t="n">
        <v>20000</v>
      </c>
      <c r="E142" s="40" t="n">
        <v>860.14</v>
      </c>
      <c r="F142" s="40" t="n">
        <v>860.14</v>
      </c>
      <c r="G142" s="41" t="n">
        <v>-22.36</v>
      </c>
      <c r="H142" s="41" t="n"/>
      <c r="I142" s="19" t="n">
        <v>70.72000000000089</v>
      </c>
      <c r="J142" s="41" t="n">
        <v>493.5</v>
      </c>
      <c r="K142" s="42">
        <f>IF(AND(B142="SELL",E142&gt;0,J142&lt;&gt;""),J142/E142,0)</f>
        <v/>
      </c>
      <c r="L142" s="42" t="n">
        <v>0.552</v>
      </c>
      <c r="M142" s="40">
        <f>IF(AND(B142="SELL",L142&gt;0),D142*L142,0)</f>
        <v/>
      </c>
      <c r="N142" s="36" t="n"/>
      <c r="O142" s="43">
        <f>IF(AND(B142="SELL",G142&lt;&gt;0),Q142/ABS(G142),0)</f>
        <v/>
      </c>
      <c r="P142" s="43">
        <f>IF(AND(B142="SELL",D142&gt;0),R142/D142,0)</f>
        <v/>
      </c>
      <c r="Q142" s="44">
        <f>IF(AND(B142="SELL",D142&gt;0,E142&gt;0),(D142/E142)+G142,0)</f>
        <v/>
      </c>
      <c r="R142" s="45">
        <f>IF(B142="SELL",Q142*F142,0)</f>
        <v/>
      </c>
      <c r="S142" s="24">
        <f>S141+R142</f>
        <v/>
      </c>
    </row>
    <row r="143" ht="15.75" customHeight="1" s="94">
      <c r="A143" s="46" t="n">
        <v>142</v>
      </c>
      <c r="B143" s="47" t="inlineStr">
        <is>
          <t>SELL</t>
        </is>
      </c>
      <c r="C143" s="48" t="n">
        <v>46052</v>
      </c>
      <c r="D143" s="49" t="n">
        <v>11000</v>
      </c>
      <c r="E143" s="50" t="n">
        <v>860.14</v>
      </c>
      <c r="F143" s="50" t="n">
        <v>860.14</v>
      </c>
      <c r="G143" s="51" t="n">
        <v>-12.19</v>
      </c>
      <c r="H143" s="51" t="n"/>
      <c r="I143" s="30" t="n">
        <v>58.5300000000009</v>
      </c>
      <c r="J143" s="51" t="n">
        <v>498</v>
      </c>
      <c r="K143" s="52">
        <f>IF(AND(B143="SELL",E143&gt;0,J143&lt;&gt;""),J143/E143,0)</f>
        <v/>
      </c>
      <c r="L143" s="52" t="n">
        <v>0.552</v>
      </c>
      <c r="M143" s="50">
        <f>IF(AND(B143="SELL",L143&gt;0),D143*L143,0)</f>
        <v/>
      </c>
      <c r="N143" s="46" t="n"/>
      <c r="O143" s="53">
        <f>IF(AND(B143="SELL",G143&lt;&gt;0),Q143/ABS(G143),0)</f>
        <v/>
      </c>
      <c r="P143" s="53">
        <f>IF(AND(B143="SELL",D143&gt;0),R143/D143,0)</f>
        <v/>
      </c>
      <c r="Q143" s="54">
        <f>IF(AND(B143="SELL",D143&gt;0,E143&gt;0),(D143/E143)+G143,0)</f>
        <v/>
      </c>
      <c r="R143" s="55">
        <f>IF(B143="SELL",Q143*F143,0)</f>
        <v/>
      </c>
      <c r="S143" s="35">
        <f>S142+R143</f>
        <v/>
      </c>
    </row>
    <row r="144" ht="15.75" customHeight="1" s="94">
      <c r="A144" s="14" t="n">
        <v>143</v>
      </c>
      <c r="B144" s="15" t="inlineStr">
        <is>
          <t>BUY</t>
        </is>
      </c>
      <c r="C144" s="16" t="n">
        <v>46052</v>
      </c>
      <c r="D144" s="17" t="n">
        <v>1529000</v>
      </c>
      <c r="E144" s="18" t="n">
        <v>868.74</v>
      </c>
      <c r="F144" s="18" t="n">
        <v>868.74</v>
      </c>
      <c r="G144" s="19" t="n">
        <v>1759.53</v>
      </c>
      <c r="H144" s="19" t="n"/>
      <c r="I144" s="19" t="n">
        <v>1818.06</v>
      </c>
      <c r="J144" s="19" t="n"/>
      <c r="K144" s="20">
        <f>IF(AND(B144="SELL",E144&gt;0,J144&lt;&gt;""),J144/E144,0)</f>
        <v/>
      </c>
      <c r="L144" s="20" t="n"/>
      <c r="M144" s="18">
        <f>IF(AND(B144="SELL",L144&gt;0),D144*L144,0)</f>
        <v/>
      </c>
      <c r="N144" s="14" t="n"/>
      <c r="O144" s="21">
        <f>IF(AND(B144="SELL",G144&lt;&gt;0),Q144/ABS(G144),0)</f>
        <v/>
      </c>
      <c r="P144" s="21">
        <f>IF(AND(B144="SELL",D144&gt;0),R144/D144,0)</f>
        <v/>
      </c>
      <c r="Q144" s="22">
        <f>IF(AND(B144="SELL",D144&gt;0,E144&gt;0),(D144/E144)+G144,0)</f>
        <v/>
      </c>
      <c r="R144" s="23">
        <f>IF(B144="SELL",Q144*F144,0)</f>
        <v/>
      </c>
      <c r="S144" s="24">
        <f>S143+R144</f>
        <v/>
      </c>
    </row>
    <row r="145" ht="15.75" customHeight="1" s="94">
      <c r="A145" s="46" t="n">
        <v>144</v>
      </c>
      <c r="B145" s="47" t="inlineStr">
        <is>
          <t>SELL</t>
        </is>
      </c>
      <c r="C145" s="48" t="n">
        <v>46052</v>
      </c>
      <c r="D145" s="49" t="n">
        <v>60000</v>
      </c>
      <c r="E145" s="50" t="n">
        <v>868.74</v>
      </c>
      <c r="F145" s="50" t="n">
        <v>868.74</v>
      </c>
      <c r="G145" s="51" t="n">
        <v>-65.95999999999999</v>
      </c>
      <c r="H145" s="51" t="n"/>
      <c r="I145" s="30" t="n">
        <v>1752.1</v>
      </c>
      <c r="J145" s="51" t="n">
        <v>502.1</v>
      </c>
      <c r="K145" s="52">
        <f>IF(AND(B145="SELL",E145&gt;0,J145&lt;&gt;""),J145/E145,0)</f>
        <v/>
      </c>
      <c r="L145" s="52" t="n">
        <v>0.552</v>
      </c>
      <c r="M145" s="50">
        <f>IF(AND(B145="SELL",L145&gt;0),D145*L145,0)</f>
        <v/>
      </c>
      <c r="N145" s="46" t="n"/>
      <c r="O145" s="53">
        <f>IF(AND(B145="SELL",G145&lt;&gt;0),Q145/ABS(G145),0)</f>
        <v/>
      </c>
      <c r="P145" s="53">
        <f>IF(AND(B145="SELL",D145&gt;0),R145/D145,0)</f>
        <v/>
      </c>
      <c r="Q145" s="54">
        <f>IF(AND(B145="SELL",D145&gt;0,E145&gt;0),(D145/E145)+G145,0)</f>
        <v/>
      </c>
      <c r="R145" s="55">
        <f>IF(B145="SELL",Q145*F145,0)</f>
        <v/>
      </c>
      <c r="S145" s="35">
        <f>S144+R145</f>
        <v/>
      </c>
    </row>
    <row r="146" ht="15.75" customHeight="1" s="94">
      <c r="A146" s="36" t="n">
        <v>145</v>
      </c>
      <c r="B146" s="37" t="inlineStr">
        <is>
          <t>SELL</t>
        </is>
      </c>
      <c r="C146" s="38" t="n">
        <v>46052</v>
      </c>
      <c r="D146" s="39" t="n">
        <v>100000</v>
      </c>
      <c r="E146" s="40" t="n">
        <v>868.74</v>
      </c>
      <c r="F146" s="40" t="n">
        <v>868.74</v>
      </c>
      <c r="G146" s="41" t="n">
        <v>-109.82</v>
      </c>
      <c r="H146" s="41" t="n"/>
      <c r="I146" s="19" t="n">
        <v>1642.28</v>
      </c>
      <c r="J146" s="41" t="n">
        <v>502.62</v>
      </c>
      <c r="K146" s="42">
        <f>IF(AND(B146="SELL",E146&gt;0,J146&lt;&gt;""),J146/E146,0)</f>
        <v/>
      </c>
      <c r="L146" s="42" t="n">
        <v>0.552</v>
      </c>
      <c r="M146" s="40">
        <f>IF(AND(B146="SELL",L146&gt;0),D146*L146,0)</f>
        <v/>
      </c>
      <c r="N146" s="36" t="n"/>
      <c r="O146" s="43">
        <f>IF(AND(B146="SELL",G146&lt;&gt;0),Q146/ABS(G146),0)</f>
        <v/>
      </c>
      <c r="P146" s="43">
        <f>IF(AND(B146="SELL",D146&gt;0),R146/D146,0)</f>
        <v/>
      </c>
      <c r="Q146" s="44">
        <f>IF(AND(B146="SELL",D146&gt;0,E146&gt;0),(D146/E146)+G146,0)</f>
        <v/>
      </c>
      <c r="R146" s="45">
        <f>IF(B146="SELL",Q146*F146,0)</f>
        <v/>
      </c>
      <c r="S146" s="24">
        <f>S145+R146</f>
        <v/>
      </c>
    </row>
    <row r="147" ht="15.75" customHeight="1" s="94">
      <c r="A147" s="46" t="n">
        <v>146</v>
      </c>
      <c r="B147" s="47" t="inlineStr">
        <is>
          <t>SELL</t>
        </is>
      </c>
      <c r="C147" s="48" t="n">
        <v>46052</v>
      </c>
      <c r="D147" s="49" t="n">
        <v>20000</v>
      </c>
      <c r="E147" s="50" t="n">
        <v>868.74</v>
      </c>
      <c r="F147" s="50" t="n">
        <v>868.74</v>
      </c>
      <c r="G147" s="51" t="n">
        <v>-22.38</v>
      </c>
      <c r="H147" s="51" t="n"/>
      <c r="I147" s="30" t="n">
        <v>1619.9</v>
      </c>
      <c r="J147" s="51" t="n">
        <v>493.12</v>
      </c>
      <c r="K147" s="52">
        <f>IF(AND(B147="SELL",E147&gt;0,J147&lt;&gt;""),J147/E147,0)</f>
        <v/>
      </c>
      <c r="L147" s="52" t="n">
        <v>0.552</v>
      </c>
      <c r="M147" s="50">
        <f>IF(AND(B147="SELL",L147&gt;0),D147*L147,0)</f>
        <v/>
      </c>
      <c r="N147" s="46" t="n"/>
      <c r="O147" s="53">
        <f>IF(AND(B147="SELL",G147&lt;&gt;0),Q147/ABS(G147),0)</f>
        <v/>
      </c>
      <c r="P147" s="53">
        <f>IF(AND(B147="SELL",D147&gt;0),R147/D147,0)</f>
        <v/>
      </c>
      <c r="Q147" s="54">
        <f>IF(AND(B147="SELL",D147&gt;0,E147&gt;0),(D147/E147)+G147,0)</f>
        <v/>
      </c>
      <c r="R147" s="55">
        <f>IF(B147="SELL",Q147*F147,0)</f>
        <v/>
      </c>
      <c r="S147" s="35">
        <f>S146+R147</f>
        <v/>
      </c>
    </row>
    <row r="148" ht="15.75" customHeight="1" s="94">
      <c r="A148" s="36" t="n">
        <v>147</v>
      </c>
      <c r="B148" s="37" t="inlineStr">
        <is>
          <t>SELL</t>
        </is>
      </c>
      <c r="C148" s="38" t="n">
        <v>46052</v>
      </c>
      <c r="D148" s="39" t="n">
        <v>35000</v>
      </c>
      <c r="E148" s="40" t="n">
        <v>868.74</v>
      </c>
      <c r="F148" s="40" t="n">
        <v>868.74</v>
      </c>
      <c r="G148" s="41" t="n">
        <v>-38.92</v>
      </c>
      <c r="H148" s="41" t="n"/>
      <c r="I148" s="19" t="n">
        <v>1580.98</v>
      </c>
      <c r="J148" s="41" t="n">
        <v>496.3</v>
      </c>
      <c r="K148" s="42">
        <f>IF(AND(B148="SELL",E148&gt;0,J148&lt;&gt;""),J148/E148,0)</f>
        <v/>
      </c>
      <c r="L148" s="42" t="n">
        <v>0.552</v>
      </c>
      <c r="M148" s="40">
        <f>IF(AND(B148="SELL",L148&gt;0),D148*L148,0)</f>
        <v/>
      </c>
      <c r="N148" s="36" t="n"/>
      <c r="O148" s="43">
        <f>IF(AND(B148="SELL",G148&lt;&gt;0),Q148/ABS(G148),0)</f>
        <v/>
      </c>
      <c r="P148" s="43">
        <f>IF(AND(B148="SELL",D148&gt;0),R148/D148,0)</f>
        <v/>
      </c>
      <c r="Q148" s="44">
        <f>IF(AND(B148="SELL",D148&gt;0,E148&gt;0),(D148/E148)+G148,0)</f>
        <v/>
      </c>
      <c r="R148" s="45">
        <f>IF(B148="SELL",Q148*F148,0)</f>
        <v/>
      </c>
      <c r="S148" s="24">
        <f>S147+R148</f>
        <v/>
      </c>
    </row>
    <row r="149" ht="15.75" customHeight="1" s="94">
      <c r="A149" s="46" t="n">
        <v>148</v>
      </c>
      <c r="B149" s="47" t="inlineStr">
        <is>
          <t>SELL</t>
        </is>
      </c>
      <c r="C149" s="48" t="n">
        <v>46052</v>
      </c>
      <c r="D149" s="49" t="n">
        <v>100000</v>
      </c>
      <c r="E149" s="50" t="n">
        <v>868.74</v>
      </c>
      <c r="F149" s="50" t="n">
        <v>868.74</v>
      </c>
      <c r="G149" s="51" t="n">
        <v>-110.85</v>
      </c>
      <c r="H149" s="51" t="n"/>
      <c r="I149" s="30" t="n">
        <v>1470.13</v>
      </c>
      <c r="J149" s="51" t="n">
        <v>498.85</v>
      </c>
      <c r="K149" s="52">
        <f>IF(AND(B149="SELL",E149&gt;0,J149&lt;&gt;""),J149/E149,0)</f>
        <v/>
      </c>
      <c r="L149" s="52" t="n">
        <v>0.553</v>
      </c>
      <c r="M149" s="50">
        <f>IF(AND(B149="SELL",L149&gt;0),D149*L149,0)</f>
        <v/>
      </c>
      <c r="N149" s="46" t="n"/>
      <c r="O149" s="53">
        <f>IF(AND(B149="SELL",G149&lt;&gt;0),Q149/ABS(G149),0)</f>
        <v/>
      </c>
      <c r="P149" s="53">
        <f>IF(AND(B149="SELL",D149&gt;0),R149/D149,0)</f>
        <v/>
      </c>
      <c r="Q149" s="54">
        <f>IF(AND(B149="SELL",D149&gt;0,E149&gt;0),(D149/E149)+G149,0)</f>
        <v/>
      </c>
      <c r="R149" s="55">
        <f>IF(B149="SELL",Q149*F149,0)</f>
        <v/>
      </c>
      <c r="S149" s="35">
        <f>S148+R149</f>
        <v/>
      </c>
    </row>
    <row r="150" ht="15.75" customHeight="1" s="94">
      <c r="A150" s="36" t="n">
        <v>149</v>
      </c>
      <c r="B150" s="37" t="inlineStr">
        <is>
          <t>SELL</t>
        </is>
      </c>
      <c r="C150" s="38" t="n">
        <v>46052</v>
      </c>
      <c r="D150" s="39" t="n">
        <v>240000</v>
      </c>
      <c r="E150" s="40" t="n">
        <v>868.74</v>
      </c>
      <c r="F150" s="40" t="n">
        <v>868.74</v>
      </c>
      <c r="G150" s="41" t="n">
        <v>-261.92</v>
      </c>
      <c r="H150" s="41" t="n"/>
      <c r="I150" s="19" t="n">
        <v>1208.21</v>
      </c>
      <c r="J150" s="41" t="n">
        <v>506.82</v>
      </c>
      <c r="K150" s="42">
        <f>IF(AND(B150="SELL",E150&gt;0,J150&lt;&gt;""),J150/E150,0)</f>
        <v/>
      </c>
      <c r="L150" s="42" t="n">
        <v>0.553</v>
      </c>
      <c r="M150" s="40">
        <f>IF(AND(B150="SELL",L150&gt;0),D150*L150,0)</f>
        <v/>
      </c>
      <c r="N150" s="36" t="n"/>
      <c r="O150" s="43">
        <f>IF(AND(B150="SELL",G150&lt;&gt;0),Q150/ABS(G150),0)</f>
        <v/>
      </c>
      <c r="P150" s="43">
        <f>IF(AND(B150="SELL",D150&gt;0),R150/D150,0)</f>
        <v/>
      </c>
      <c r="Q150" s="44">
        <f>IF(AND(B150="SELL",D150&gt;0,E150&gt;0),(D150/E150)+G150,0)</f>
        <v/>
      </c>
      <c r="R150" s="45">
        <f>IF(B150="SELL",Q150*F150,0)</f>
        <v/>
      </c>
      <c r="S150" s="24">
        <f>S149+R150</f>
        <v/>
      </c>
    </row>
    <row r="151" ht="15.75" customHeight="1" s="94">
      <c r="A151" s="46" t="n">
        <v>150</v>
      </c>
      <c r="B151" s="47" t="inlineStr">
        <is>
          <t>SELL</t>
        </is>
      </c>
      <c r="C151" s="48" t="n">
        <v>46052</v>
      </c>
      <c r="D151" s="49" t="n">
        <v>20000</v>
      </c>
      <c r="E151" s="50" t="n">
        <v>868.74</v>
      </c>
      <c r="F151" s="50" t="n">
        <v>868.74</v>
      </c>
      <c r="G151" s="51" t="n">
        <v>-21.99</v>
      </c>
      <c r="H151" s="51" t="n"/>
      <c r="I151" s="30" t="n">
        <v>1186.22</v>
      </c>
      <c r="J151" s="51" t="n">
        <v>506.122</v>
      </c>
      <c r="K151" s="52">
        <f>IF(AND(B151="SELL",E151&gt;0,J151&lt;&gt;""),J151/E151,0)</f>
        <v/>
      </c>
      <c r="L151" s="52" t="n">
        <v>0.553</v>
      </c>
      <c r="M151" s="50">
        <f>IF(AND(B151="SELL",L151&gt;0),D151*L151,0)</f>
        <v/>
      </c>
      <c r="N151" s="46" t="n"/>
      <c r="O151" s="53">
        <f>IF(AND(B151="SELL",G151&lt;&gt;0),Q151/ABS(G151),0)</f>
        <v/>
      </c>
      <c r="P151" s="53">
        <f>IF(AND(B151="SELL",D151&gt;0),R151/D151,0)</f>
        <v/>
      </c>
      <c r="Q151" s="54">
        <f>IF(AND(B151="SELL",D151&gt;0,E151&gt;0),(D151/E151)+G151,0)</f>
        <v/>
      </c>
      <c r="R151" s="55">
        <f>IF(B151="SELL",Q151*F151,0)</f>
        <v/>
      </c>
      <c r="S151" s="35">
        <f>S150+R151</f>
        <v/>
      </c>
    </row>
    <row r="152" ht="15.75" customHeight="1" s="94">
      <c r="A152" s="36" t="n">
        <v>151</v>
      </c>
      <c r="B152" s="37" t="inlineStr">
        <is>
          <t>SELL</t>
        </is>
      </c>
      <c r="C152" s="38" t="n">
        <v>46052</v>
      </c>
      <c r="D152" s="39" t="n">
        <v>10000</v>
      </c>
      <c r="E152" s="40" t="n">
        <v>868.74</v>
      </c>
      <c r="F152" s="40" t="n">
        <v>868.74</v>
      </c>
      <c r="G152" s="41" t="n">
        <v>-10.96</v>
      </c>
      <c r="H152" s="41" t="n"/>
      <c r="I152" s="19" t="n">
        <v>1175.26</v>
      </c>
      <c r="J152" s="41" t="n">
        <v>503.26</v>
      </c>
      <c r="K152" s="42">
        <f>IF(AND(B152="SELL",E152&gt;0,J152&lt;&gt;""),J152/E152,0)</f>
        <v/>
      </c>
      <c r="L152" s="42" t="n">
        <v>0.552</v>
      </c>
      <c r="M152" s="40">
        <f>IF(AND(B152="SELL",L152&gt;0),D152*L152,0)</f>
        <v/>
      </c>
      <c r="N152" s="36" t="n"/>
      <c r="O152" s="43">
        <f>IF(AND(B152="SELL",G152&lt;&gt;0),Q152/ABS(G152),0)</f>
        <v/>
      </c>
      <c r="P152" s="43">
        <f>IF(AND(B152="SELL",D152&gt;0),R152/D152,0)</f>
        <v/>
      </c>
      <c r="Q152" s="44">
        <f>IF(AND(B152="SELL",D152&gt;0,E152&gt;0),(D152/E152)+G152,0)</f>
        <v/>
      </c>
      <c r="R152" s="45">
        <f>IF(B152="SELL",Q152*F152,0)</f>
        <v/>
      </c>
      <c r="S152" s="24">
        <f>S151+R152</f>
        <v/>
      </c>
    </row>
    <row r="153" ht="15.75" customHeight="1" s="94">
      <c r="A153" s="46" t="n">
        <v>152</v>
      </c>
      <c r="B153" s="47" t="inlineStr">
        <is>
          <t>SELL</t>
        </is>
      </c>
      <c r="C153" s="48" t="n">
        <v>46052</v>
      </c>
      <c r="D153" s="49" t="n">
        <v>10000</v>
      </c>
      <c r="E153" s="50" t="n">
        <v>868.74</v>
      </c>
      <c r="F153" s="50" t="n">
        <v>868.74</v>
      </c>
      <c r="G153" s="51" t="n">
        <v>-11.02</v>
      </c>
      <c r="H153" s="51" t="n"/>
      <c r="I153" s="30" t="n">
        <v>1164.24</v>
      </c>
      <c r="J153" s="51" t="n">
        <v>500.8</v>
      </c>
      <c r="K153" s="52">
        <f>IF(AND(B153="SELL",E153&gt;0,J153&lt;&gt;""),J153/E153,0)</f>
        <v/>
      </c>
      <c r="L153" s="52" t="n">
        <v>0.552</v>
      </c>
      <c r="M153" s="50">
        <f>IF(AND(B153="SELL",L153&gt;0),D153*L153,0)</f>
        <v/>
      </c>
      <c r="N153" s="46" t="n"/>
      <c r="O153" s="53">
        <f>IF(AND(B153="SELL",G153&lt;&gt;0),Q153/ABS(G153),0)</f>
        <v/>
      </c>
      <c r="P153" s="53">
        <f>IF(AND(B153="SELL",D153&gt;0),R153/D153,0)</f>
        <v/>
      </c>
      <c r="Q153" s="54">
        <f>IF(AND(B153="SELL",D153&gt;0,E153&gt;0),(D153/E153)+G153,0)</f>
        <v/>
      </c>
      <c r="R153" s="55">
        <f>IF(B153="SELL",Q153*F153,0)</f>
        <v/>
      </c>
      <c r="S153" s="35">
        <f>S152+R153</f>
        <v/>
      </c>
    </row>
    <row r="154" ht="15.75" customHeight="1" s="94">
      <c r="A154" s="36" t="n">
        <v>153</v>
      </c>
      <c r="B154" s="37" t="inlineStr">
        <is>
          <t>SELL</t>
        </is>
      </c>
      <c r="C154" s="38" t="n">
        <v>46052</v>
      </c>
      <c r="D154" s="39" t="n">
        <v>10000</v>
      </c>
      <c r="E154" s="40" t="n">
        <v>868.74</v>
      </c>
      <c r="F154" s="40" t="n">
        <v>868.74</v>
      </c>
      <c r="G154" s="41" t="n">
        <v>-11.01</v>
      </c>
      <c r="H154" s="41" t="n"/>
      <c r="I154" s="19" t="n">
        <v>1153.23</v>
      </c>
      <c r="J154" s="41" t="n">
        <v>501</v>
      </c>
      <c r="K154" s="42">
        <f>IF(AND(B154="SELL",E154&gt;0,J154&lt;&gt;""),J154/E154,0)</f>
        <v/>
      </c>
      <c r="L154" s="42" t="n">
        <v>0.552</v>
      </c>
      <c r="M154" s="40">
        <f>IF(AND(B154="SELL",L154&gt;0),D154*L154,0)</f>
        <v/>
      </c>
      <c r="N154" s="36" t="n"/>
      <c r="O154" s="43">
        <f>IF(AND(B154="SELL",G154&lt;&gt;0),Q154/ABS(G154),0)</f>
        <v/>
      </c>
      <c r="P154" s="43">
        <f>IF(AND(B154="SELL",D154&gt;0),R154/D154,0)</f>
        <v/>
      </c>
      <c r="Q154" s="44">
        <f>IF(AND(B154="SELL",D154&gt;0,E154&gt;0),(D154/E154)+G154,0)</f>
        <v/>
      </c>
      <c r="R154" s="45">
        <f>IF(B154="SELL",Q154*F154,0)</f>
        <v/>
      </c>
      <c r="S154" s="24">
        <f>S153+R154</f>
        <v/>
      </c>
    </row>
    <row r="155" ht="15.75" customHeight="1" s="94">
      <c r="A155" s="46" t="n">
        <v>154</v>
      </c>
      <c r="B155" s="47" t="inlineStr">
        <is>
          <t>SELL</t>
        </is>
      </c>
      <c r="C155" s="48" t="n">
        <v>46052</v>
      </c>
      <c r="D155" s="49" t="n">
        <v>70000</v>
      </c>
      <c r="E155" s="50" t="n">
        <v>868.74</v>
      </c>
      <c r="F155" s="50" t="n">
        <v>868.74</v>
      </c>
      <c r="G155" s="51" t="n">
        <v>-75.83</v>
      </c>
      <c r="H155" s="51" t="n"/>
      <c r="I155" s="30" t="n">
        <v>1077.4</v>
      </c>
      <c r="J155" s="51" t="n">
        <v>509.499</v>
      </c>
      <c r="K155" s="52">
        <f>IF(AND(B155="SELL",E155&gt;0,J155&lt;&gt;""),J155/E155,0)</f>
        <v/>
      </c>
      <c r="L155" s="52" t="n">
        <v>0.552</v>
      </c>
      <c r="M155" s="50">
        <f>IF(AND(B155="SELL",L155&gt;0),D155*L155,0)</f>
        <v/>
      </c>
      <c r="N155" s="46" t="n"/>
      <c r="O155" s="53">
        <f>IF(AND(B155="SELL",G155&lt;&gt;0),Q155/ABS(G155),0)</f>
        <v/>
      </c>
      <c r="P155" s="53">
        <f>IF(AND(B155="SELL",D155&gt;0),R155/D155,0)</f>
        <v/>
      </c>
      <c r="Q155" s="54">
        <f>IF(AND(B155="SELL",D155&gt;0,E155&gt;0),(D155/E155)+G155,0)</f>
        <v/>
      </c>
      <c r="R155" s="55">
        <f>IF(B155="SELL",Q155*F155,0)</f>
        <v/>
      </c>
      <c r="S155" s="35">
        <f>S154+R155</f>
        <v/>
      </c>
    </row>
    <row r="156" ht="15.75" customHeight="1" s="94">
      <c r="A156" s="36" t="n">
        <v>155</v>
      </c>
      <c r="B156" s="37" t="inlineStr">
        <is>
          <t>SELL</t>
        </is>
      </c>
      <c r="C156" s="38" t="n">
        <v>46053</v>
      </c>
      <c r="D156" s="39" t="n">
        <v>30000</v>
      </c>
      <c r="E156" s="40" t="n">
        <v>868.74</v>
      </c>
      <c r="F156" s="40" t="n">
        <v>868.74</v>
      </c>
      <c r="G156" s="41" t="n">
        <v>-32.57</v>
      </c>
      <c r="H156" s="41" t="n"/>
      <c r="I156" s="19" t="n">
        <v>1044.83</v>
      </c>
      <c r="J156" s="41" t="n">
        <v>506.503</v>
      </c>
      <c r="K156" s="42">
        <f>IF(AND(B156="SELL",E156&gt;0,J156&lt;&gt;""),J156/E156,0)</f>
        <v/>
      </c>
      <c r="L156" s="42" t="n">
        <v>0.55</v>
      </c>
      <c r="M156" s="40">
        <f>IF(AND(B156="SELL",L156&gt;0),D156*L156,0)</f>
        <v/>
      </c>
      <c r="N156" s="36" t="n"/>
      <c r="O156" s="43">
        <f>IF(AND(B156="SELL",G156&lt;&gt;0),Q156/ABS(G156),0)</f>
        <v/>
      </c>
      <c r="P156" s="43">
        <f>IF(AND(B156="SELL",D156&gt;0),R156/D156,0)</f>
        <v/>
      </c>
      <c r="Q156" s="44">
        <f>IF(AND(B156="SELL",D156&gt;0,E156&gt;0),(D156/E156)+G156,0)</f>
        <v/>
      </c>
      <c r="R156" s="45">
        <f>IF(B156="SELL",Q156*F156,0)</f>
        <v/>
      </c>
      <c r="S156" s="24">
        <f>S155+R156</f>
        <v/>
      </c>
    </row>
    <row r="157" ht="15.75" customHeight="1" s="94">
      <c r="A157" s="46" t="n">
        <v>156</v>
      </c>
      <c r="B157" s="47" t="inlineStr">
        <is>
          <t>SELL</t>
        </is>
      </c>
      <c r="C157" s="48" t="n">
        <v>46053</v>
      </c>
      <c r="D157" s="49" t="n">
        <v>2000</v>
      </c>
      <c r="E157" s="50" t="n">
        <v>868.74</v>
      </c>
      <c r="F157" s="50" t="n">
        <v>868.74</v>
      </c>
      <c r="G157" s="51" t="n">
        <v>-2.23</v>
      </c>
      <c r="H157" s="51" t="n"/>
      <c r="I157" s="30" t="n">
        <v>1042.6</v>
      </c>
      <c r="J157" s="51" t="n">
        <v>491.2</v>
      </c>
      <c r="K157" s="52">
        <f>IF(AND(B157="SELL",E157&gt;0,J157&lt;&gt;""),J157/E157,0)</f>
        <v/>
      </c>
      <c r="L157" s="52" t="n">
        <v>0.55</v>
      </c>
      <c r="M157" s="50">
        <f>IF(AND(B157="SELL",L157&gt;0),D157*L157,0)</f>
        <v/>
      </c>
      <c r="N157" s="46" t="n"/>
      <c r="O157" s="53">
        <f>IF(AND(B157="SELL",G157&lt;&gt;0),Q157/ABS(G157),0)</f>
        <v/>
      </c>
      <c r="P157" s="53">
        <f>IF(AND(B157="SELL",D157&gt;0),R157/D157,0)</f>
        <v/>
      </c>
      <c r="Q157" s="54">
        <f>IF(AND(B157="SELL",D157&gt;0,E157&gt;0),(D157/E157)+G157,0)</f>
        <v/>
      </c>
      <c r="R157" s="55">
        <f>IF(B157="SELL",Q157*F157,0)</f>
        <v/>
      </c>
      <c r="S157" s="35">
        <f>S156+R157</f>
        <v/>
      </c>
    </row>
    <row r="158" ht="15.75" customHeight="1" s="94">
      <c r="A158" s="36" t="n">
        <v>157</v>
      </c>
      <c r="B158" s="37" t="inlineStr">
        <is>
          <t>SELL</t>
        </is>
      </c>
      <c r="C158" s="38" t="n">
        <v>46053</v>
      </c>
      <c r="D158" s="39" t="n">
        <v>35000</v>
      </c>
      <c r="E158" s="40" t="n">
        <v>868.74</v>
      </c>
      <c r="F158" s="40" t="n">
        <v>868.74</v>
      </c>
      <c r="G158" s="41" t="n">
        <v>-38.27</v>
      </c>
      <c r="H158" s="41" t="n"/>
      <c r="I158" s="19" t="n">
        <v>1004.33</v>
      </c>
      <c r="J158" s="41" t="n">
        <v>502.91</v>
      </c>
      <c r="K158" s="42">
        <f>IF(AND(B158="SELL",E158&gt;0,J158&lt;&gt;""),J158/E158,0)</f>
        <v/>
      </c>
      <c r="L158" s="42" t="n">
        <v>0.55</v>
      </c>
      <c r="M158" s="40">
        <f>IF(AND(B158="SELL",L158&gt;0),D158*L158,0)</f>
        <v/>
      </c>
      <c r="N158" s="36" t="n"/>
      <c r="O158" s="43">
        <f>IF(AND(B158="SELL",G158&lt;&gt;0),Q158/ABS(G158),0)</f>
        <v/>
      </c>
      <c r="P158" s="43">
        <f>IF(AND(B158="SELL",D158&gt;0),R158/D158,0)</f>
        <v/>
      </c>
      <c r="Q158" s="44">
        <f>IF(AND(B158="SELL",D158&gt;0,E158&gt;0),(D158/E158)+G158,0)</f>
        <v/>
      </c>
      <c r="R158" s="45">
        <f>IF(B158="SELL",Q158*F158,0)</f>
        <v/>
      </c>
      <c r="S158" s="24">
        <f>S157+R158</f>
        <v/>
      </c>
    </row>
    <row r="159" ht="15.75" customHeight="1" s="94">
      <c r="A159" s="46" t="n">
        <v>158</v>
      </c>
      <c r="B159" s="47" t="inlineStr">
        <is>
          <t>SELL</t>
        </is>
      </c>
      <c r="C159" s="48" t="n">
        <v>46053</v>
      </c>
      <c r="D159" s="49" t="n">
        <v>30000</v>
      </c>
      <c r="E159" s="50" t="n">
        <v>868.74</v>
      </c>
      <c r="F159" s="50" t="n">
        <v>868.74</v>
      </c>
      <c r="G159" s="51" t="n">
        <v>-32.8</v>
      </c>
      <c r="H159" s="51" t="n"/>
      <c r="I159" s="30" t="n">
        <v>971.530000000001</v>
      </c>
      <c r="J159" s="51" t="n">
        <v>503</v>
      </c>
      <c r="K159" s="52">
        <f>IF(AND(B159="SELL",E159&gt;0,J159&lt;&gt;""),J159/E159,0)</f>
        <v/>
      </c>
      <c r="L159" s="52" t="n">
        <v>0.55</v>
      </c>
      <c r="M159" s="50">
        <f>IF(AND(B159="SELL",L159&gt;0),D159*L159,0)</f>
        <v/>
      </c>
      <c r="N159" s="46" t="n"/>
      <c r="O159" s="53">
        <f>IF(AND(B159="SELL",G159&lt;&gt;0),Q159/ABS(G159),0)</f>
        <v/>
      </c>
      <c r="P159" s="53">
        <f>IF(AND(B159="SELL",D159&gt;0),R159/D159,0)</f>
        <v/>
      </c>
      <c r="Q159" s="54">
        <f>IF(AND(B159="SELL",D159&gt;0,E159&gt;0),(D159/E159)+G159,0)</f>
        <v/>
      </c>
      <c r="R159" s="55">
        <f>IF(B159="SELL",Q159*F159,0)</f>
        <v/>
      </c>
      <c r="S159" s="35">
        <f>S158+R159</f>
        <v/>
      </c>
    </row>
    <row r="160" ht="15.75" customHeight="1" s="94">
      <c r="A160" s="36" t="n">
        <v>159</v>
      </c>
      <c r="B160" s="37" t="inlineStr">
        <is>
          <t>SELL</t>
        </is>
      </c>
      <c r="C160" s="38" t="n">
        <v>46053</v>
      </c>
      <c r="D160" s="39" t="n">
        <v>12000</v>
      </c>
      <c r="E160" s="40" t="n">
        <v>868.74</v>
      </c>
      <c r="F160" s="40" t="n">
        <v>868.74</v>
      </c>
      <c r="G160" s="41" t="n">
        <v>-13.04</v>
      </c>
      <c r="H160" s="41" t="n"/>
      <c r="I160" s="19" t="n">
        <v>958.490000000001</v>
      </c>
      <c r="J160" s="41" t="n">
        <v>506</v>
      </c>
      <c r="K160" s="42">
        <f>IF(AND(B160="SELL",E160&gt;0,J160&lt;&gt;""),J160/E160,0)</f>
        <v/>
      </c>
      <c r="L160" s="42" t="n">
        <v>0.55</v>
      </c>
      <c r="M160" s="40">
        <f>IF(AND(B160="SELL",L160&gt;0),D160*L160,0)</f>
        <v/>
      </c>
      <c r="N160" s="36" t="n"/>
      <c r="O160" s="43">
        <f>IF(AND(B160="SELL",G160&lt;&gt;0),Q160/ABS(G160),0)</f>
        <v/>
      </c>
      <c r="P160" s="43">
        <f>IF(AND(B160="SELL",D160&gt;0),R160/D160,0)</f>
        <v/>
      </c>
      <c r="Q160" s="44">
        <f>IF(AND(B160="SELL",D160&gt;0,E160&gt;0),(D160/E160)+G160,0)</f>
        <v/>
      </c>
      <c r="R160" s="45">
        <f>IF(B160="SELL",Q160*F160,0)</f>
        <v/>
      </c>
      <c r="S160" s="24">
        <f>S159+R160</f>
        <v/>
      </c>
    </row>
    <row r="161" ht="15.75" customHeight="1" s="94">
      <c r="A161" s="46" t="n">
        <v>160</v>
      </c>
      <c r="B161" s="47" t="inlineStr">
        <is>
          <t>SELL</t>
        </is>
      </c>
      <c r="C161" s="48" t="n">
        <v>46053</v>
      </c>
      <c r="D161" s="49" t="n">
        <v>20000</v>
      </c>
      <c r="E161" s="50" t="n">
        <v>868.74</v>
      </c>
      <c r="F161" s="50" t="n">
        <v>868.74</v>
      </c>
      <c r="G161" s="51" t="n">
        <v>-21.64</v>
      </c>
      <c r="H161" s="51" t="n"/>
      <c r="I161" s="30" t="n">
        <v>936.850000000001</v>
      </c>
      <c r="J161" s="51" t="n">
        <v>508.17</v>
      </c>
      <c r="K161" s="52">
        <f>IF(AND(B161="SELL",E161&gt;0,J161&lt;&gt;""),J161/E161,0)</f>
        <v/>
      </c>
      <c r="L161" s="52" t="n">
        <v>0.55</v>
      </c>
      <c r="M161" s="50">
        <f>IF(AND(B161="SELL",L161&gt;0),D161*L161,0)</f>
        <v/>
      </c>
      <c r="N161" s="46" t="n"/>
      <c r="O161" s="53">
        <f>IF(AND(B161="SELL",G161&lt;&gt;0),Q161/ABS(G161),0)</f>
        <v/>
      </c>
      <c r="P161" s="53">
        <f>IF(AND(B161="SELL",D161&gt;0),R161/D161,0)</f>
        <v/>
      </c>
      <c r="Q161" s="54">
        <f>IF(AND(B161="SELL",D161&gt;0,E161&gt;0),(D161/E161)+G161,0)</f>
        <v/>
      </c>
      <c r="R161" s="55">
        <f>IF(B161="SELL",Q161*F161,0)</f>
        <v/>
      </c>
      <c r="S161" s="35">
        <f>S160+R161</f>
        <v/>
      </c>
    </row>
    <row r="162" ht="15.75" customHeight="1" s="94">
      <c r="A162" s="36" t="n">
        <v>161</v>
      </c>
      <c r="B162" s="37" t="inlineStr">
        <is>
          <t>SELL</t>
        </is>
      </c>
      <c r="C162" s="38" t="n">
        <v>46053</v>
      </c>
      <c r="D162" s="39" t="n">
        <v>116000</v>
      </c>
      <c r="E162" s="40" t="n">
        <v>868.74</v>
      </c>
      <c r="F162" s="40" t="n">
        <v>868.74</v>
      </c>
      <c r="G162" s="41" t="n">
        <v>-125.45</v>
      </c>
      <c r="H162" s="41" t="n"/>
      <c r="I162" s="19" t="n">
        <v>811.400000000001</v>
      </c>
      <c r="J162" s="41" t="n">
        <v>508.55</v>
      </c>
      <c r="K162" s="42">
        <f>IF(AND(B162="SELL",E162&gt;0,J162&lt;&gt;""),J162/E162,0)</f>
        <v/>
      </c>
      <c r="L162" s="42" t="n">
        <v>0.55</v>
      </c>
      <c r="M162" s="40">
        <f>IF(AND(B162="SELL",L162&gt;0),D162*L162,0)</f>
        <v/>
      </c>
      <c r="N162" s="36" t="n"/>
      <c r="O162" s="43">
        <f>IF(AND(B162="SELL",G162&lt;&gt;0),Q162/ABS(G162),0)</f>
        <v/>
      </c>
      <c r="P162" s="43">
        <f>IF(AND(B162="SELL",D162&gt;0),R162/D162,0)</f>
        <v/>
      </c>
      <c r="Q162" s="44">
        <f>IF(AND(B162="SELL",D162&gt;0,E162&gt;0),(D162/E162)+G162,0)</f>
        <v/>
      </c>
      <c r="R162" s="45">
        <f>IF(B162="SELL",Q162*F162,0)</f>
        <v/>
      </c>
      <c r="S162" s="24">
        <f>S161+R162</f>
        <v/>
      </c>
    </row>
    <row r="163" ht="15.75" customHeight="1" s="94">
      <c r="A163" s="46" t="n">
        <v>162</v>
      </c>
      <c r="B163" s="47" t="inlineStr">
        <is>
          <t>SELL</t>
        </is>
      </c>
      <c r="C163" s="48" t="n">
        <v>46053</v>
      </c>
      <c r="D163" s="49" t="n">
        <v>20000</v>
      </c>
      <c r="E163" s="50" t="n">
        <v>868.74</v>
      </c>
      <c r="F163" s="50" t="n">
        <v>868.74</v>
      </c>
      <c r="G163" s="51" t="n">
        <v>-22.49</v>
      </c>
      <c r="H163" s="51" t="n"/>
      <c r="I163" s="30" t="n">
        <v>788.910000000001</v>
      </c>
      <c r="J163" s="51" t="n">
        <v>489.1</v>
      </c>
      <c r="K163" s="52">
        <f>IF(AND(B163="SELL",E163&gt;0,J163&lt;&gt;""),J163/E163,0)</f>
        <v/>
      </c>
      <c r="L163" s="52" t="n">
        <v>0.55</v>
      </c>
      <c r="M163" s="50">
        <f>IF(AND(B163="SELL",L163&gt;0),D163*L163,0)</f>
        <v/>
      </c>
      <c r="N163" s="46" t="n"/>
      <c r="O163" s="53">
        <f>IF(AND(B163="SELL",G163&lt;&gt;0),Q163/ABS(G163),0)</f>
        <v/>
      </c>
      <c r="P163" s="53">
        <f>IF(AND(B163="SELL",D163&gt;0),R163/D163,0)</f>
        <v/>
      </c>
      <c r="Q163" s="54">
        <f>IF(AND(B163="SELL",D163&gt;0,E163&gt;0),(D163/E163)+G163,0)</f>
        <v/>
      </c>
      <c r="R163" s="55">
        <f>IF(B163="SELL",Q163*F163,0)</f>
        <v/>
      </c>
      <c r="S163" s="35">
        <f>S162+R163</f>
        <v/>
      </c>
    </row>
    <row r="165" ht="21.75" customHeight="1" s="94">
      <c r="A165" s="95" t="inlineStr">
        <is>
          <t>TOTALES — Enero 2026</t>
        </is>
      </c>
      <c r="D165" s="56">
        <f>SUMIF(B2:B163,"SELL",D2:D163)</f>
        <v/>
      </c>
      <c r="G165" s="57">
        <f>COUNTIF(B2:B163,"SELL")</f>
        <v/>
      </c>
      <c r="I165" s="58">
        <f>I163</f>
        <v/>
      </c>
      <c r="Q165" s="58">
        <f>SUM(Q2:Q163)</f>
        <v/>
      </c>
      <c r="R165" s="59">
        <f>SUMIF(B2:B163,"SELL",R2:R163)</f>
        <v/>
      </c>
      <c r="S165" s="59">
        <f>S163</f>
        <v/>
      </c>
    </row>
  </sheetData>
  <mergeCells count="1">
    <mergeCell ref="A165:C165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7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4.25"/>
  <cols>
    <col width="5" customWidth="1" style="94" min="1" max="1"/>
    <col width="8" customWidth="1" style="94" min="2" max="2"/>
    <col width="11" customWidth="1" style="94" min="3" max="3"/>
    <col width="13" customWidth="1" style="94" min="4" max="6"/>
    <col width="10" customWidth="1" style="94" min="7" max="8"/>
    <col width="13" customWidth="1" style="94" min="9" max="10"/>
    <col width="11" customWidth="1" style="94" min="11" max="12"/>
    <col width="13" customWidth="1" style="94" min="13" max="13"/>
    <col width="20" customWidth="1" style="94" min="14" max="14"/>
    <col width="10" customWidth="1" style="94" min="15" max="16"/>
    <col width="13" customWidth="1" style="94" min="17" max="18"/>
    <col width="15" customWidth="1" style="94" min="19" max="19"/>
  </cols>
  <sheetData>
    <row r="1" ht="21.75" customHeight="1" s="94">
      <c r="A1" s="2" t="inlineStr">
        <is>
          <t>N°</t>
        </is>
      </c>
      <c r="B1" s="2" t="inlineStr">
        <is>
          <t>Tipo</t>
        </is>
      </c>
      <c r="C1" s="2" t="inlineStr">
        <is>
          <t>Fecha</t>
        </is>
      </c>
      <c r="D1" s="2" t="inlineStr">
        <is>
          <t>Monto CLP</t>
        </is>
      </c>
      <c r="E1" s="2" t="inlineStr">
        <is>
          <t>USDT/CLP Compra</t>
        </is>
      </c>
      <c r="F1" s="2" t="inlineStr">
        <is>
          <t>USDT/CLP Venta</t>
        </is>
      </c>
      <c r="G1" s="2" t="inlineStr">
        <is>
          <t>USDT Mov</t>
        </is>
      </c>
      <c r="H1" s="2" t="inlineStr">
        <is>
          <t>Tax Binance</t>
        </is>
      </c>
      <c r="I1" s="2" t="inlineStr">
        <is>
          <t>Capital USDT</t>
        </is>
      </c>
      <c r="J1" s="2" t="inlineStr">
        <is>
          <t>Tasa Destino</t>
        </is>
      </c>
      <c r="K1" s="2" t="inlineStr">
        <is>
          <t>Tasa Real</t>
        </is>
      </c>
      <c r="L1" s="2" t="inlineStr">
        <is>
          <t>Tasa IREMI</t>
        </is>
      </c>
      <c r="M1" s="2" t="inlineStr">
        <is>
          <t>Valor Destino</t>
        </is>
      </c>
      <c r="N1" s="2" t="inlineStr">
        <is>
          <t>Comentario</t>
        </is>
      </c>
      <c r="O1" s="2" t="inlineStr">
        <is>
          <t>% G USDT</t>
        </is>
      </c>
      <c r="P1" s="2" t="inlineStr">
        <is>
          <t>% G CLP</t>
        </is>
      </c>
      <c r="Q1" s="2" t="inlineStr">
        <is>
          <t>Ganancia USDT</t>
        </is>
      </c>
      <c r="R1" s="2" t="inlineStr">
        <is>
          <t>Ganancia CLP</t>
        </is>
      </c>
      <c r="S1" s="2" t="inlineStr">
        <is>
          <t>Acumulado SELL</t>
        </is>
      </c>
    </row>
    <row r="2" ht="15.75" customHeight="1" s="94">
      <c r="A2" s="36" t="n">
        <v>1</v>
      </c>
      <c r="B2" s="37" t="inlineStr">
        <is>
          <t>SELL</t>
        </is>
      </c>
      <c r="C2" s="38" t="n">
        <v>46052</v>
      </c>
      <c r="D2" s="39" t="n">
        <v>10000</v>
      </c>
      <c r="E2" s="40" t="n">
        <v>868.74</v>
      </c>
      <c r="F2" s="40" t="n">
        <v>868.74</v>
      </c>
      <c r="G2" s="41" t="n">
        <v>-10.96</v>
      </c>
      <c r="H2" s="41" t="n">
        <v>-0.06</v>
      </c>
      <c r="I2" s="19" t="n">
        <v>1164.3</v>
      </c>
      <c r="J2" s="41" t="n">
        <v>503.26</v>
      </c>
      <c r="K2" s="42">
        <f>IF(AND(B2="SELL",E2&gt;0,J2&lt;&gt;""),J2/E2,0)</f>
        <v/>
      </c>
      <c r="L2" s="42" t="n">
        <v>0.552</v>
      </c>
      <c r="M2" s="40">
        <f>IF(AND(B2="SELL",L2&gt;0),D2*L2,0)</f>
        <v/>
      </c>
      <c r="N2" s="36" t="n"/>
      <c r="O2" s="43">
        <f>IF(AND(B2="SELL",G2&lt;&gt;0),Q2/ABS(G2),0)</f>
        <v/>
      </c>
      <c r="P2" s="43">
        <f>IF(AND(B2="SELL",D2&gt;0),R2/D2,0)</f>
        <v/>
      </c>
      <c r="Q2" s="44">
        <f>IF(AND(B2="SELL",D2&gt;0,E2&gt;0),(D2/E2)+G2,0)</f>
        <v/>
      </c>
      <c r="R2" s="45">
        <f>IF(B2="SELL",Q2*F2,0)</f>
        <v/>
      </c>
      <c r="S2" s="24">
        <f>'Enero 2026'!S163+R2</f>
        <v/>
      </c>
    </row>
    <row r="3" ht="15.75" customHeight="1" s="94">
      <c r="A3" s="46" t="n">
        <v>2</v>
      </c>
      <c r="B3" s="47" t="inlineStr">
        <is>
          <t>SELL</t>
        </is>
      </c>
      <c r="C3" s="48" t="n">
        <v>46052</v>
      </c>
      <c r="D3" s="49" t="n">
        <v>10000</v>
      </c>
      <c r="E3" s="50" t="n">
        <v>868.74</v>
      </c>
      <c r="F3" s="50" t="n">
        <v>868.74</v>
      </c>
      <c r="G3" s="51" t="n">
        <v>-11.02</v>
      </c>
      <c r="H3" s="51" t="n">
        <v>-0.06</v>
      </c>
      <c r="I3" s="30" t="n">
        <v>1153.28</v>
      </c>
      <c r="J3" s="51" t="n">
        <v>500.8</v>
      </c>
      <c r="K3" s="52">
        <f>IF(AND(B3="SELL",E3&gt;0,J3&lt;&gt;""),J3/E3,0)</f>
        <v/>
      </c>
      <c r="L3" s="52" t="n">
        <v>0.552</v>
      </c>
      <c r="M3" s="50">
        <f>IF(AND(B3="SELL",L3&gt;0),D3*L3,0)</f>
        <v/>
      </c>
      <c r="N3" s="46" t="n"/>
      <c r="O3" s="53">
        <f>IF(AND(B3="SELL",G3&lt;&gt;0),Q3/ABS(G3),0)</f>
        <v/>
      </c>
      <c r="P3" s="53">
        <f>IF(AND(B3="SELL",D3&gt;0),R3/D3,0)</f>
        <v/>
      </c>
      <c r="Q3" s="54">
        <f>IF(AND(B3="SELL",D3&gt;0,E3&gt;0),(D3/E3)+G3,0)</f>
        <v/>
      </c>
      <c r="R3" s="55">
        <f>IF(B3="SELL",Q3*F3,0)</f>
        <v/>
      </c>
      <c r="S3" s="35">
        <f>S2+R3</f>
        <v/>
      </c>
    </row>
    <row r="4" ht="15.75" customHeight="1" s="94">
      <c r="A4" s="36" t="n">
        <v>3</v>
      </c>
      <c r="B4" s="37" t="inlineStr">
        <is>
          <t>SELL</t>
        </is>
      </c>
      <c r="C4" s="38" t="n">
        <v>46052</v>
      </c>
      <c r="D4" s="39" t="n">
        <v>10000</v>
      </c>
      <c r="E4" s="40" t="n">
        <v>868.74</v>
      </c>
      <c r="F4" s="40" t="n">
        <v>868.74</v>
      </c>
      <c r="G4" s="41" t="n">
        <v>-11.01</v>
      </c>
      <c r="H4" s="41" t="n">
        <v>-0.06</v>
      </c>
      <c r="I4" s="19" t="n">
        <v>1142.27</v>
      </c>
      <c r="J4" s="41" t="n">
        <v>501</v>
      </c>
      <c r="K4" s="42">
        <f>IF(AND(B4="SELL",E4&gt;0,J4&lt;&gt;""),J4/E4,0)</f>
        <v/>
      </c>
      <c r="L4" s="42" t="n">
        <v>0.552</v>
      </c>
      <c r="M4" s="40">
        <f>IF(AND(B4="SELL",L4&gt;0),D4*L4,0)</f>
        <v/>
      </c>
      <c r="N4" s="36" t="n"/>
      <c r="O4" s="43">
        <f>IF(AND(B4="SELL",G4&lt;&gt;0),Q4/ABS(G4),0)</f>
        <v/>
      </c>
      <c r="P4" s="43">
        <f>IF(AND(B4="SELL",D4&gt;0),R4/D4,0)</f>
        <v/>
      </c>
      <c r="Q4" s="44">
        <f>IF(AND(B4="SELL",D4&gt;0,E4&gt;0),(D4/E4)+G4,0)</f>
        <v/>
      </c>
      <c r="R4" s="45">
        <f>IF(B4="SELL",Q4*F4,0)</f>
        <v/>
      </c>
      <c r="S4" s="24">
        <f>S3+R4</f>
        <v/>
      </c>
    </row>
    <row r="5" ht="15.75" customHeight="1" s="94">
      <c r="A5" s="46" t="n">
        <v>4</v>
      </c>
      <c r="B5" s="47" t="inlineStr">
        <is>
          <t>SELL</t>
        </is>
      </c>
      <c r="C5" s="48" t="n">
        <v>46052</v>
      </c>
      <c r="D5" s="49" t="n">
        <v>70000</v>
      </c>
      <c r="E5" s="50" t="n">
        <v>868.74</v>
      </c>
      <c r="F5" s="50" t="n">
        <v>868.74</v>
      </c>
      <c r="G5" s="51" t="n">
        <v>-75.83</v>
      </c>
      <c r="H5" s="51" t="n">
        <v>-0.06</v>
      </c>
      <c r="I5" s="30" t="n">
        <v>1066.44</v>
      </c>
      <c r="J5" s="51" t="n">
        <v>509.499</v>
      </c>
      <c r="K5" s="52">
        <f>IF(AND(B5="SELL",E5&gt;0,J5&lt;&gt;""),J5/E5,0)</f>
        <v/>
      </c>
      <c r="L5" s="52" t="n">
        <v>0.552</v>
      </c>
      <c r="M5" s="50">
        <f>IF(AND(B5="SELL",L5&gt;0),D5*L5,0)</f>
        <v/>
      </c>
      <c r="N5" s="46" t="n"/>
      <c r="O5" s="53">
        <f>IF(AND(B5="SELL",G5&lt;&gt;0),Q5/ABS(G5),0)</f>
        <v/>
      </c>
      <c r="P5" s="53">
        <f>IF(AND(B5="SELL",D5&gt;0),R5/D5,0)</f>
        <v/>
      </c>
      <c r="Q5" s="54">
        <f>IF(AND(B5="SELL",D5&gt;0,E5&gt;0),(D5/E5)+G5,0)</f>
        <v/>
      </c>
      <c r="R5" s="55">
        <f>IF(B5="SELL",Q5*F5,0)</f>
        <v/>
      </c>
      <c r="S5" s="35">
        <f>S4+R5</f>
        <v/>
      </c>
    </row>
    <row r="6" ht="15.75" customHeight="1" s="94">
      <c r="A6" s="36" t="n">
        <v>5</v>
      </c>
      <c r="B6" s="37" t="inlineStr">
        <is>
          <t>SELL</t>
        </is>
      </c>
      <c r="C6" s="38" t="n">
        <v>46053</v>
      </c>
      <c r="D6" s="39" t="n">
        <v>30000</v>
      </c>
      <c r="E6" s="40" t="n">
        <v>868.74</v>
      </c>
      <c r="F6" s="40" t="n">
        <v>868.74</v>
      </c>
      <c r="G6" s="41" t="n">
        <v>-32.57</v>
      </c>
      <c r="H6" s="41" t="n">
        <v>-0.06</v>
      </c>
      <c r="I6" s="19" t="n">
        <v>1033.87</v>
      </c>
      <c r="J6" s="41" t="n">
        <v>506.503</v>
      </c>
      <c r="K6" s="42">
        <f>IF(AND(B6="SELL",E6&gt;0,J6&lt;&gt;""),J6/E6,0)</f>
        <v/>
      </c>
      <c r="L6" s="42" t="n">
        <v>0.55</v>
      </c>
      <c r="M6" s="40">
        <f>IF(AND(B6="SELL",L6&gt;0),D6*L6,0)</f>
        <v/>
      </c>
      <c r="N6" s="36" t="n"/>
      <c r="O6" s="43">
        <f>IF(AND(B6="SELL",G6&lt;&gt;0),Q6/ABS(G6),0)</f>
        <v/>
      </c>
      <c r="P6" s="43">
        <f>IF(AND(B6="SELL",D6&gt;0),R6/D6,0)</f>
        <v/>
      </c>
      <c r="Q6" s="44">
        <f>IF(AND(B6="SELL",D6&gt;0,E6&gt;0),(D6/E6)+G6,0)</f>
        <v/>
      </c>
      <c r="R6" s="45">
        <f>IF(B6="SELL",Q6*F6,0)</f>
        <v/>
      </c>
      <c r="S6" s="24">
        <f>S5+R6</f>
        <v/>
      </c>
    </row>
    <row r="7" ht="15.75" customHeight="1" s="94">
      <c r="A7" s="46" t="n">
        <v>6</v>
      </c>
      <c r="B7" s="47" t="inlineStr">
        <is>
          <t>SELL</t>
        </is>
      </c>
      <c r="C7" s="48" t="n">
        <v>46053</v>
      </c>
      <c r="D7" s="49" t="n">
        <v>2000</v>
      </c>
      <c r="E7" s="50" t="n">
        <v>868.74</v>
      </c>
      <c r="F7" s="50" t="n">
        <v>868.74</v>
      </c>
      <c r="G7" s="51" t="n">
        <v>-2.23</v>
      </c>
      <c r="H7" s="51" t="n">
        <v>-0.06</v>
      </c>
      <c r="I7" s="30" t="n">
        <v>1031.64</v>
      </c>
      <c r="J7" s="51" t="n">
        <v>491.2</v>
      </c>
      <c r="K7" s="52">
        <f>IF(AND(B7="SELL",E7&gt;0,J7&lt;&gt;""),J7/E7,0)</f>
        <v/>
      </c>
      <c r="L7" s="52" t="n">
        <v>0.55</v>
      </c>
      <c r="M7" s="50">
        <f>IF(AND(B7="SELL",L7&gt;0),D7*L7,0)</f>
        <v/>
      </c>
      <c r="N7" s="46" t="n"/>
      <c r="O7" s="53">
        <f>IF(AND(B7="SELL",G7&lt;&gt;0),Q7/ABS(G7),0)</f>
        <v/>
      </c>
      <c r="P7" s="53">
        <f>IF(AND(B7="SELL",D7&gt;0),R7/D7,0)</f>
        <v/>
      </c>
      <c r="Q7" s="54">
        <f>IF(AND(B7="SELL",D7&gt;0,E7&gt;0),(D7/E7)+G7,0)</f>
        <v/>
      </c>
      <c r="R7" s="55">
        <f>IF(B7="SELL",Q7*F7,0)</f>
        <v/>
      </c>
      <c r="S7" s="35">
        <f>S6+R7</f>
        <v/>
      </c>
    </row>
    <row r="8" ht="15.75" customHeight="1" s="94">
      <c r="A8" s="36" t="n">
        <v>7</v>
      </c>
      <c r="B8" s="37" t="inlineStr">
        <is>
          <t>SELL</t>
        </is>
      </c>
      <c r="C8" s="38" t="n">
        <v>46053</v>
      </c>
      <c r="D8" s="39" t="n">
        <v>35000</v>
      </c>
      <c r="E8" s="40" t="n">
        <v>868.74</v>
      </c>
      <c r="F8" s="40" t="n">
        <v>868.74</v>
      </c>
      <c r="G8" s="41" t="n">
        <v>-38.27</v>
      </c>
      <c r="H8" s="41" t="n">
        <v>-0.06</v>
      </c>
      <c r="I8" s="19" t="n">
        <v>993.37</v>
      </c>
      <c r="J8" s="41" t="n">
        <v>502.91</v>
      </c>
      <c r="K8" s="42">
        <f>IF(AND(B8="SELL",E8&gt;0,J8&lt;&gt;""),J8/E8,0)</f>
        <v/>
      </c>
      <c r="L8" s="42" t="n">
        <v>0.55</v>
      </c>
      <c r="M8" s="40">
        <f>IF(AND(B8="SELL",L8&gt;0),D8*L8,0)</f>
        <v/>
      </c>
      <c r="N8" s="36" t="n"/>
      <c r="O8" s="43">
        <f>IF(AND(B8="SELL",G8&lt;&gt;0),Q8/ABS(G8),0)</f>
        <v/>
      </c>
      <c r="P8" s="43">
        <f>IF(AND(B8="SELL",D8&gt;0),R8/D8,0)</f>
        <v/>
      </c>
      <c r="Q8" s="44">
        <f>IF(AND(B8="SELL",D8&gt;0,E8&gt;0),(D8/E8)+G8,0)</f>
        <v/>
      </c>
      <c r="R8" s="45">
        <f>IF(B8="SELL",Q8*F8,0)</f>
        <v/>
      </c>
      <c r="S8" s="24">
        <f>S7+R8</f>
        <v/>
      </c>
    </row>
    <row r="9" ht="15.75" customHeight="1" s="94">
      <c r="A9" s="46" t="n">
        <v>8</v>
      </c>
      <c r="B9" s="47" t="inlineStr">
        <is>
          <t>SELL</t>
        </is>
      </c>
      <c r="C9" s="48" t="n">
        <v>46053</v>
      </c>
      <c r="D9" s="49" t="n">
        <v>30000</v>
      </c>
      <c r="E9" s="50" t="n">
        <v>868.74</v>
      </c>
      <c r="F9" s="50" t="n">
        <v>868.74</v>
      </c>
      <c r="G9" s="51" t="n">
        <v>-32.8</v>
      </c>
      <c r="H9" s="51" t="n">
        <v>-0.06</v>
      </c>
      <c r="I9" s="30" t="n">
        <v>960.5700000000001</v>
      </c>
      <c r="J9" s="51" t="n">
        <v>503</v>
      </c>
      <c r="K9" s="52">
        <f>IF(AND(B9="SELL",E9&gt;0,J9&lt;&gt;""),J9/E9,0)</f>
        <v/>
      </c>
      <c r="L9" s="52" t="n">
        <v>0.55</v>
      </c>
      <c r="M9" s="50">
        <f>IF(AND(B9="SELL",L9&gt;0),D9*L9,0)</f>
        <v/>
      </c>
      <c r="N9" s="46" t="n"/>
      <c r="O9" s="53">
        <f>IF(AND(B9="SELL",G9&lt;&gt;0),Q9/ABS(G9),0)</f>
        <v/>
      </c>
      <c r="P9" s="53">
        <f>IF(AND(B9="SELL",D9&gt;0),R9/D9,0)</f>
        <v/>
      </c>
      <c r="Q9" s="54">
        <f>IF(AND(B9="SELL",D9&gt;0,E9&gt;0),(D9/E9)+G9,0)</f>
        <v/>
      </c>
      <c r="R9" s="55">
        <f>IF(B9="SELL",Q9*F9,0)</f>
        <v/>
      </c>
      <c r="S9" s="35">
        <f>S8+R9</f>
        <v/>
      </c>
    </row>
    <row r="10" ht="15.75" customHeight="1" s="94">
      <c r="A10" s="36" t="n">
        <v>9</v>
      </c>
      <c r="B10" s="37" t="inlineStr">
        <is>
          <t>SELL</t>
        </is>
      </c>
      <c r="C10" s="38" t="n">
        <v>46053</v>
      </c>
      <c r="D10" s="39" t="n">
        <v>12000</v>
      </c>
      <c r="E10" s="40" t="n">
        <v>868.74</v>
      </c>
      <c r="F10" s="40" t="n">
        <v>868.74</v>
      </c>
      <c r="G10" s="41" t="n">
        <v>-13.04</v>
      </c>
      <c r="H10" s="41" t="n">
        <v>-0.06</v>
      </c>
      <c r="I10" s="19" t="n">
        <v>947.53</v>
      </c>
      <c r="J10" s="41" t="n">
        <v>506</v>
      </c>
      <c r="K10" s="42">
        <f>IF(AND(B10="SELL",E10&gt;0,J10&lt;&gt;""),J10/E10,0)</f>
        <v/>
      </c>
      <c r="L10" s="42" t="n">
        <v>0.55</v>
      </c>
      <c r="M10" s="40">
        <f>IF(AND(B10="SELL",L10&gt;0),D10*L10,0)</f>
        <v/>
      </c>
      <c r="N10" s="36" t="n"/>
      <c r="O10" s="43">
        <f>IF(AND(B10="SELL",G10&lt;&gt;0),Q10/ABS(G10),0)</f>
        <v/>
      </c>
      <c r="P10" s="43">
        <f>IF(AND(B10="SELL",D10&gt;0),R10/D10,0)</f>
        <v/>
      </c>
      <c r="Q10" s="44">
        <f>IF(AND(B10="SELL",D10&gt;0,E10&gt;0),(D10/E10)+G10,0)</f>
        <v/>
      </c>
      <c r="R10" s="45">
        <f>IF(B10="SELL",Q10*F10,0)</f>
        <v/>
      </c>
      <c r="S10" s="24">
        <f>S9+R10</f>
        <v/>
      </c>
    </row>
    <row r="11" ht="15.75" customHeight="1" s="94">
      <c r="A11" s="46" t="n">
        <v>10</v>
      </c>
      <c r="B11" s="47" t="inlineStr">
        <is>
          <t>SELL</t>
        </is>
      </c>
      <c r="C11" s="48" t="n">
        <v>46053</v>
      </c>
      <c r="D11" s="49" t="n">
        <v>20000</v>
      </c>
      <c r="E11" s="50" t="n">
        <v>868.74</v>
      </c>
      <c r="F11" s="50" t="n">
        <v>868.74</v>
      </c>
      <c r="G11" s="51" t="n">
        <v>-21.64</v>
      </c>
      <c r="H11" s="51" t="n">
        <v>-0.06</v>
      </c>
      <c r="I11" s="30" t="n">
        <v>925.89</v>
      </c>
      <c r="J11" s="51" t="n">
        <v>508.17</v>
      </c>
      <c r="K11" s="52">
        <f>IF(AND(B11="SELL",E11&gt;0,J11&lt;&gt;""),J11/E11,0)</f>
        <v/>
      </c>
      <c r="L11" s="52" t="n">
        <v>0.55</v>
      </c>
      <c r="M11" s="50">
        <f>IF(AND(B11="SELL",L11&gt;0),D11*L11,0)</f>
        <v/>
      </c>
      <c r="N11" s="46" t="n"/>
      <c r="O11" s="53">
        <f>IF(AND(B11="SELL",G11&lt;&gt;0),Q11/ABS(G11),0)</f>
        <v/>
      </c>
      <c r="P11" s="53">
        <f>IF(AND(B11="SELL",D11&gt;0),R11/D11,0)</f>
        <v/>
      </c>
      <c r="Q11" s="54">
        <f>IF(AND(B11="SELL",D11&gt;0,E11&gt;0),(D11/E11)+G11,0)</f>
        <v/>
      </c>
      <c r="R11" s="55">
        <f>IF(B11="SELL",Q11*F11,0)</f>
        <v/>
      </c>
      <c r="S11" s="35">
        <f>S10+R11</f>
        <v/>
      </c>
    </row>
    <row r="12" ht="15.75" customHeight="1" s="94">
      <c r="A12" s="36" t="n">
        <v>11</v>
      </c>
      <c r="B12" s="37" t="inlineStr">
        <is>
          <t>SELL</t>
        </is>
      </c>
      <c r="C12" s="38" t="n">
        <v>46053</v>
      </c>
      <c r="D12" s="39" t="n">
        <v>116000</v>
      </c>
      <c r="E12" s="40" t="n">
        <v>868.74</v>
      </c>
      <c r="F12" s="40" t="n">
        <v>868.74</v>
      </c>
      <c r="G12" s="41" t="n">
        <v>-125.45</v>
      </c>
      <c r="H12" s="41" t="n">
        <v>-0.06</v>
      </c>
      <c r="I12" s="19" t="n">
        <v>800.4400000000001</v>
      </c>
      <c r="J12" s="41" t="n">
        <v>508.55</v>
      </c>
      <c r="K12" s="42">
        <f>IF(AND(B12="SELL",E12&gt;0,J12&lt;&gt;""),J12/E12,0)</f>
        <v/>
      </c>
      <c r="L12" s="42" t="n">
        <v>0.55</v>
      </c>
      <c r="M12" s="40">
        <f>IF(AND(B12="SELL",L12&gt;0),D12*L12,0)</f>
        <v/>
      </c>
      <c r="N12" s="36" t="n"/>
      <c r="O12" s="43">
        <f>IF(AND(B12="SELL",G12&lt;&gt;0),Q12/ABS(G12),0)</f>
        <v/>
      </c>
      <c r="P12" s="43">
        <f>IF(AND(B12="SELL",D12&gt;0),R12/D12,0)</f>
        <v/>
      </c>
      <c r="Q12" s="44">
        <f>IF(AND(B12="SELL",D12&gt;0,E12&gt;0),(D12/E12)+G12,0)</f>
        <v/>
      </c>
      <c r="R12" s="45">
        <f>IF(B12="SELL",Q12*F12,0)</f>
        <v/>
      </c>
      <c r="S12" s="24">
        <f>S11+R12</f>
        <v/>
      </c>
    </row>
    <row r="13" ht="15.75" customHeight="1" s="94">
      <c r="A13" s="46" t="n">
        <v>12</v>
      </c>
      <c r="B13" s="47" t="inlineStr">
        <is>
          <t>SELL</t>
        </is>
      </c>
      <c r="C13" s="48" t="n">
        <v>46053</v>
      </c>
      <c r="D13" s="49" t="n">
        <v>20000</v>
      </c>
      <c r="E13" s="50" t="n">
        <v>868.74</v>
      </c>
      <c r="F13" s="50" t="n">
        <v>868.74</v>
      </c>
      <c r="G13" s="51" t="n">
        <v>-22.49</v>
      </c>
      <c r="H13" s="51" t="n">
        <v>-0.06</v>
      </c>
      <c r="I13" s="30" t="n">
        <v>777.95</v>
      </c>
      <c r="J13" s="51" t="n">
        <v>489.1</v>
      </c>
      <c r="K13" s="52">
        <f>IF(AND(B13="SELL",E13&gt;0,J13&lt;&gt;""),J13/E13,0)</f>
        <v/>
      </c>
      <c r="L13" s="52" t="n">
        <v>0.55</v>
      </c>
      <c r="M13" s="50">
        <f>IF(AND(B13="SELL",L13&gt;0),D13*L13,0)</f>
        <v/>
      </c>
      <c r="N13" s="46" t="n"/>
      <c r="O13" s="53">
        <f>IF(AND(B13="SELL",G13&lt;&gt;0),Q13/ABS(G13),0)</f>
        <v/>
      </c>
      <c r="P13" s="53">
        <f>IF(AND(B13="SELL",D13&gt;0),R13/D13,0)</f>
        <v/>
      </c>
      <c r="Q13" s="54">
        <f>IF(AND(B13="SELL",D13&gt;0,E13&gt;0),(D13/E13)+G13,0)</f>
        <v/>
      </c>
      <c r="R13" s="55">
        <f>IF(B13="SELL",Q13*F13,0)</f>
        <v/>
      </c>
      <c r="S13" s="35">
        <f>S12+R13</f>
        <v/>
      </c>
    </row>
    <row r="14" ht="15.75" customHeight="1" s="94">
      <c r="A14" s="36" t="n">
        <v>13</v>
      </c>
      <c r="B14" s="37" t="inlineStr">
        <is>
          <t>SELL</t>
        </is>
      </c>
      <c r="C14" s="38" t="n">
        <v>46055</v>
      </c>
      <c r="D14" s="39" t="n">
        <v>70000</v>
      </c>
      <c r="E14" s="40" t="n">
        <v>868.74</v>
      </c>
      <c r="F14" s="40" t="n">
        <v>868.74</v>
      </c>
      <c r="G14" s="41" t="n">
        <v>-75.64</v>
      </c>
      <c r="H14" s="41" t="n">
        <v>-0.06</v>
      </c>
      <c r="I14" s="19" t="n">
        <v>702.25</v>
      </c>
      <c r="J14" s="41" t="n">
        <v>506.2</v>
      </c>
      <c r="K14" s="42">
        <f>IF(AND(B14="SELL",E14&gt;0,J14&lt;&gt;""),J14/E14,0)</f>
        <v/>
      </c>
      <c r="L14" s="42" t="n">
        <v>0.547</v>
      </c>
      <c r="M14" s="40">
        <f>IF(AND(B14="SELL",L14&gt;0),D14*L14,0)</f>
        <v/>
      </c>
      <c r="N14" s="36" t="n"/>
      <c r="O14" s="43">
        <f>IF(AND(B14="SELL",G14&lt;&gt;0),Q14/ABS(G14),0)</f>
        <v/>
      </c>
      <c r="P14" s="43">
        <f>IF(AND(B14="SELL",D14&gt;0),R14/D14,0)</f>
        <v/>
      </c>
      <c r="Q14" s="44">
        <f>IF(AND(B14="SELL",D14&gt;0,E14&gt;0),(D14/E14)+G14,0)</f>
        <v/>
      </c>
      <c r="R14" s="45">
        <f>IF(B14="SELL",Q14*F14,0)</f>
        <v/>
      </c>
      <c r="S14" s="24">
        <f>S13+R14</f>
        <v/>
      </c>
    </row>
    <row r="15" ht="15.75" customHeight="1" s="94">
      <c r="A15" s="46" t="n">
        <v>14</v>
      </c>
      <c r="B15" s="47" t="inlineStr">
        <is>
          <t>SELL</t>
        </is>
      </c>
      <c r="C15" s="48" t="n">
        <v>46055</v>
      </c>
      <c r="D15" s="49" t="n">
        <v>28000</v>
      </c>
      <c r="E15" s="50" t="n">
        <v>868.74</v>
      </c>
      <c r="F15" s="50" t="n">
        <v>868.74</v>
      </c>
      <c r="G15" s="51" t="n">
        <v>-30.2</v>
      </c>
      <c r="H15" s="51" t="n">
        <v>-0.06</v>
      </c>
      <c r="I15" s="30" t="n">
        <v>671.99</v>
      </c>
      <c r="J15" s="51" t="n">
        <v>507</v>
      </c>
      <c r="K15" s="52">
        <f>IF(AND(B15="SELL",E15&gt;0,J15&lt;&gt;""),J15/E15,0)</f>
        <v/>
      </c>
      <c r="L15" s="52" t="n">
        <v>0.547</v>
      </c>
      <c r="M15" s="50">
        <f>IF(AND(B15="SELL",L15&gt;0),D15*L15,0)</f>
        <v/>
      </c>
      <c r="N15" s="46" t="n"/>
      <c r="O15" s="53">
        <f>IF(AND(B15="SELL",G15&lt;&gt;0),Q15/ABS(G15),0)</f>
        <v/>
      </c>
      <c r="P15" s="53">
        <f>IF(AND(B15="SELL",D15&gt;0),R15/D15,0)</f>
        <v/>
      </c>
      <c r="Q15" s="54">
        <f>IF(AND(B15="SELL",D15&gt;0,E15&gt;0),(D15/E15)+G15,0)</f>
        <v/>
      </c>
      <c r="R15" s="55">
        <f>IF(B15="SELL",Q15*F15,0)</f>
        <v/>
      </c>
      <c r="S15" s="35">
        <f>S14+R15</f>
        <v/>
      </c>
    </row>
    <row r="16" ht="15.75" customHeight="1" s="94">
      <c r="A16" s="36" t="n">
        <v>15</v>
      </c>
      <c r="B16" s="37" t="inlineStr">
        <is>
          <t>SELL</t>
        </is>
      </c>
      <c r="C16" s="38" t="n">
        <v>46055</v>
      </c>
      <c r="D16" s="39" t="n">
        <v>100000</v>
      </c>
      <c r="E16" s="40" t="n">
        <v>868.74</v>
      </c>
      <c r="F16" s="40" t="n">
        <v>868.74</v>
      </c>
      <c r="G16" s="41" t="n">
        <v>-107.02</v>
      </c>
      <c r="H16" s="41" t="n">
        <v>-0.06</v>
      </c>
      <c r="I16" s="19" t="n">
        <v>564.91</v>
      </c>
      <c r="J16" s="41" t="n">
        <v>511.11</v>
      </c>
      <c r="K16" s="42">
        <f>IF(AND(B16="SELL",E16&gt;0,J16&lt;&gt;""),J16/E16,0)</f>
        <v/>
      </c>
      <c r="L16" s="42" t="n">
        <v>0.547</v>
      </c>
      <c r="M16" s="40">
        <f>IF(AND(B16="SELL",L16&gt;0),D16*L16,0)</f>
        <v/>
      </c>
      <c r="N16" s="36" t="n"/>
      <c r="O16" s="43">
        <f>IF(AND(B16="SELL",G16&lt;&gt;0),Q16/ABS(G16),0)</f>
        <v/>
      </c>
      <c r="P16" s="43">
        <f>IF(AND(B16="SELL",D16&gt;0),R16/D16,0)</f>
        <v/>
      </c>
      <c r="Q16" s="44">
        <f>IF(AND(B16="SELL",D16&gt;0,E16&gt;0),(D16/E16)+G16,0)</f>
        <v/>
      </c>
      <c r="R16" s="45">
        <f>IF(B16="SELL",Q16*F16,0)</f>
        <v/>
      </c>
      <c r="S16" s="24">
        <f>S15+R16</f>
        <v/>
      </c>
    </row>
    <row r="17" ht="15.75" customHeight="1" s="94">
      <c r="A17" s="46" t="n">
        <v>16</v>
      </c>
      <c r="B17" s="47" t="inlineStr">
        <is>
          <t>SELL</t>
        </is>
      </c>
      <c r="C17" s="48" t="n">
        <v>46055</v>
      </c>
      <c r="D17" s="49" t="n">
        <v>15000</v>
      </c>
      <c r="E17" s="50" t="n">
        <v>868.74</v>
      </c>
      <c r="F17" s="50" t="n">
        <v>868.74</v>
      </c>
      <c r="G17" s="51" t="n">
        <v>-16.15</v>
      </c>
      <c r="H17" s="51" t="n">
        <v>-0.06</v>
      </c>
      <c r="I17" s="30" t="n">
        <v>548.7</v>
      </c>
      <c r="J17" s="51" t="n">
        <v>508</v>
      </c>
      <c r="K17" s="52">
        <f>IF(AND(B17="SELL",E17&gt;0,J17&lt;&gt;""),J17/E17,0)</f>
        <v/>
      </c>
      <c r="L17" s="52" t="n">
        <v>0.547</v>
      </c>
      <c r="M17" s="50">
        <f>IF(AND(B17="SELL",L17&gt;0),D17*L17,0)</f>
        <v/>
      </c>
      <c r="N17" s="46" t="n"/>
      <c r="O17" s="53">
        <f>IF(AND(B17="SELL",G17&lt;&gt;0),Q17/ABS(G17),0)</f>
        <v/>
      </c>
      <c r="P17" s="53">
        <f>IF(AND(B17="SELL",D17&gt;0),R17/D17,0)</f>
        <v/>
      </c>
      <c r="Q17" s="54">
        <f>IF(AND(B17="SELL",D17&gt;0,E17&gt;0),(D17/E17)+G17,0)</f>
        <v/>
      </c>
      <c r="R17" s="55">
        <f>IF(B17="SELL",Q17*F17,0)</f>
        <v/>
      </c>
      <c r="S17" s="35">
        <f>S16+R17</f>
        <v/>
      </c>
    </row>
    <row r="18" ht="15.75" customHeight="1" s="94">
      <c r="A18" s="36" t="n">
        <v>17</v>
      </c>
      <c r="B18" s="37" t="inlineStr">
        <is>
          <t>SELL</t>
        </is>
      </c>
      <c r="C18" s="38" t="n">
        <v>46055</v>
      </c>
      <c r="D18" s="39" t="n">
        <v>70000</v>
      </c>
      <c r="E18" s="40" t="n">
        <v>868.74</v>
      </c>
      <c r="F18" s="40" t="n">
        <v>868.74</v>
      </c>
      <c r="G18" s="41" t="n">
        <v>-75</v>
      </c>
      <c r="H18" s="41" t="n">
        <v>-0.06</v>
      </c>
      <c r="I18" s="19" t="n">
        <v>473.64</v>
      </c>
      <c r="J18" s="41" t="n">
        <v>510.505</v>
      </c>
      <c r="K18" s="42">
        <f>IF(AND(B18="SELL",E18&gt;0,J18&lt;&gt;""),J18/E18,0)</f>
        <v/>
      </c>
      <c r="L18" s="42" t="n">
        <v>0.547</v>
      </c>
      <c r="M18" s="40">
        <f>IF(AND(B18="SELL",L18&gt;0),D18*L18,0)</f>
        <v/>
      </c>
      <c r="N18" s="36" t="n"/>
      <c r="O18" s="43">
        <f>IF(AND(B18="SELL",G18&lt;&gt;0),Q18/ABS(G18),0)</f>
        <v/>
      </c>
      <c r="P18" s="43">
        <f>IF(AND(B18="SELL",D18&gt;0),R18/D18,0)</f>
        <v/>
      </c>
      <c r="Q18" s="44">
        <f>IF(AND(B18="SELL",D18&gt;0,E18&gt;0),(D18/E18)+G18,0)</f>
        <v/>
      </c>
      <c r="R18" s="45">
        <f>IF(B18="SELL",Q18*F18,0)</f>
        <v/>
      </c>
      <c r="S18" s="24">
        <f>S17+R18</f>
        <v/>
      </c>
    </row>
    <row r="19" ht="15.75" customHeight="1" s="94">
      <c r="A19" s="46" t="n">
        <v>18</v>
      </c>
      <c r="B19" s="47" t="inlineStr">
        <is>
          <t>SELL</t>
        </is>
      </c>
      <c r="C19" s="48" t="n">
        <v>46055</v>
      </c>
      <c r="D19" s="49" t="n">
        <v>10000</v>
      </c>
      <c r="E19" s="50" t="n">
        <v>868.74</v>
      </c>
      <c r="F19" s="50" t="n">
        <v>868.74</v>
      </c>
      <c r="G19" s="51" t="n">
        <v>-10.88</v>
      </c>
      <c r="H19" s="51" t="n">
        <v>-0.06</v>
      </c>
      <c r="I19" s="30" t="n">
        <v>462.7</v>
      </c>
      <c r="J19" s="51" t="n">
        <v>502.42</v>
      </c>
      <c r="K19" s="52">
        <f>IF(AND(B19="SELL",E19&gt;0,J19&lt;&gt;""),J19/E19,0)</f>
        <v/>
      </c>
      <c r="L19" s="52" t="n">
        <v>0.547</v>
      </c>
      <c r="M19" s="50">
        <f>IF(AND(B19="SELL",L19&gt;0),D19*L19,0)</f>
        <v/>
      </c>
      <c r="N19" s="46" t="n"/>
      <c r="O19" s="53">
        <f>IF(AND(B19="SELL",G19&lt;&gt;0),Q19/ABS(G19),0)</f>
        <v/>
      </c>
      <c r="P19" s="53">
        <f>IF(AND(B19="SELL",D19&gt;0),R19/D19,0)</f>
        <v/>
      </c>
      <c r="Q19" s="54">
        <f>IF(AND(B19="SELL",D19&gt;0,E19&gt;0),(D19/E19)+G19,0)</f>
        <v/>
      </c>
      <c r="R19" s="55">
        <f>IF(B19="SELL",Q19*F19,0)</f>
        <v/>
      </c>
      <c r="S19" s="35">
        <f>S18+R19</f>
        <v/>
      </c>
    </row>
    <row r="20" ht="15.75" customHeight="1" s="94">
      <c r="A20" s="36" t="n">
        <v>19</v>
      </c>
      <c r="B20" s="37" t="inlineStr">
        <is>
          <t>SELL</t>
        </is>
      </c>
      <c r="C20" s="38" t="n">
        <v>46055</v>
      </c>
      <c r="D20" s="39" t="n">
        <v>135400</v>
      </c>
      <c r="E20" s="40" t="n">
        <v>868.74</v>
      </c>
      <c r="F20" s="40" t="n">
        <v>868.74</v>
      </c>
      <c r="G20" s="41" t="n">
        <v>-144.36</v>
      </c>
      <c r="H20" s="41" t="n">
        <v>-0.06</v>
      </c>
      <c r="I20" s="19" t="n">
        <v>318.28</v>
      </c>
      <c r="J20" s="41" t="n">
        <v>513.05</v>
      </c>
      <c r="K20" s="42">
        <f>IF(AND(B20="SELL",E20&gt;0,J20&lt;&gt;""),J20/E20,0)</f>
        <v/>
      </c>
      <c r="L20" s="42" t="n">
        <v>0.547</v>
      </c>
      <c r="M20" s="40">
        <f>IF(AND(B20="SELL",L20&gt;0),D20*L20,0)</f>
        <v/>
      </c>
      <c r="N20" s="36" t="n"/>
      <c r="O20" s="43">
        <f>IF(AND(B20="SELL",G20&lt;&gt;0),Q20/ABS(G20),0)</f>
        <v/>
      </c>
      <c r="P20" s="43">
        <f>IF(AND(B20="SELL",D20&gt;0),R20/D20,0)</f>
        <v/>
      </c>
      <c r="Q20" s="44">
        <f>IF(AND(B20="SELL",D20&gt;0,E20&gt;0),(D20/E20)+G20,0)</f>
        <v/>
      </c>
      <c r="R20" s="45">
        <f>IF(B20="SELL",Q20*F20,0)</f>
        <v/>
      </c>
      <c r="S20" s="24">
        <f>S19+R20</f>
        <v/>
      </c>
    </row>
    <row r="21" ht="15.75" customHeight="1" s="94">
      <c r="A21" s="46" t="n">
        <v>20</v>
      </c>
      <c r="B21" s="47" t="inlineStr">
        <is>
          <t>SELL</t>
        </is>
      </c>
      <c r="C21" s="48" t="n">
        <v>46055</v>
      </c>
      <c r="D21" s="49" t="n">
        <v>30000</v>
      </c>
      <c r="E21" s="50" t="n">
        <v>868.74</v>
      </c>
      <c r="F21" s="50" t="n">
        <v>868.74</v>
      </c>
      <c r="G21" s="51" t="n">
        <v>-32.05</v>
      </c>
      <c r="H21" s="51" t="n">
        <v>-0.06</v>
      </c>
      <c r="I21" s="30" t="n">
        <v>286.17</v>
      </c>
      <c r="J21" s="51" t="n">
        <v>512.0119999999999</v>
      </c>
      <c r="K21" s="52">
        <f>IF(AND(B21="SELL",E21&gt;0,J21&lt;&gt;""),J21/E21,0)</f>
        <v/>
      </c>
      <c r="L21" s="52" t="n">
        <v>0.547</v>
      </c>
      <c r="M21" s="50">
        <f>IF(AND(B21="SELL",L21&gt;0),D21*L21,0)</f>
        <v/>
      </c>
      <c r="N21" s="46" t="n"/>
      <c r="O21" s="53">
        <f>IF(AND(B21="SELL",G21&lt;&gt;0),Q21/ABS(G21),0)</f>
        <v/>
      </c>
      <c r="P21" s="53">
        <f>IF(AND(B21="SELL",D21&gt;0),R21/D21,0)</f>
        <v/>
      </c>
      <c r="Q21" s="54">
        <f>IF(AND(B21="SELL",D21&gt;0,E21&gt;0),(D21/E21)+G21,0)</f>
        <v/>
      </c>
      <c r="R21" s="55">
        <f>IF(B21="SELL",Q21*F21,0)</f>
        <v/>
      </c>
      <c r="S21" s="35">
        <f>S20+R21</f>
        <v/>
      </c>
    </row>
    <row r="22" ht="15.75" customHeight="1" s="94">
      <c r="A22" s="36" t="n">
        <v>21</v>
      </c>
      <c r="B22" s="37" t="inlineStr">
        <is>
          <t>SELL</t>
        </is>
      </c>
      <c r="C22" s="38" t="n">
        <v>46055</v>
      </c>
      <c r="D22" s="39" t="n">
        <v>20000</v>
      </c>
      <c r="E22" s="40" t="n">
        <v>868.74</v>
      </c>
      <c r="F22" s="40" t="n">
        <v>868.74</v>
      </c>
      <c r="G22" s="41" t="n">
        <v>-21.4</v>
      </c>
      <c r="H22" s="41" t="n">
        <v>-0.06</v>
      </c>
      <c r="I22" s="19" t="n">
        <v>264.71</v>
      </c>
      <c r="J22" s="41" t="n">
        <v>511</v>
      </c>
      <c r="K22" s="42">
        <f>IF(AND(B22="SELL",E22&gt;0,J22&lt;&gt;""),J22/E22,0)</f>
        <v/>
      </c>
      <c r="L22" s="42" t="n">
        <v>0.547</v>
      </c>
      <c r="M22" s="40">
        <f>IF(AND(B22="SELL",L22&gt;0),D22*L22,0)</f>
        <v/>
      </c>
      <c r="N22" s="36" t="n"/>
      <c r="O22" s="43">
        <f>IF(AND(B22="SELL",G22&lt;&gt;0),Q22/ABS(G22),0)</f>
        <v/>
      </c>
      <c r="P22" s="43">
        <f>IF(AND(B22="SELL",D22&gt;0),R22/D22,0)</f>
        <v/>
      </c>
      <c r="Q22" s="44">
        <f>IF(AND(B22="SELL",D22&gt;0,E22&gt;0),(D22/E22)+G22,0)</f>
        <v/>
      </c>
      <c r="R22" s="45">
        <f>IF(B22="SELL",Q22*F22,0)</f>
        <v/>
      </c>
      <c r="S22" s="24">
        <f>S21+R22</f>
        <v/>
      </c>
    </row>
    <row r="23" ht="15.75" customHeight="1" s="94">
      <c r="A23" s="46" t="n">
        <v>22</v>
      </c>
      <c r="B23" s="47" t="inlineStr">
        <is>
          <t>SELL</t>
        </is>
      </c>
      <c r="C23" s="48" t="n">
        <v>46055</v>
      </c>
      <c r="D23" s="49" t="n">
        <v>67800</v>
      </c>
      <c r="E23" s="50" t="n">
        <v>868.74</v>
      </c>
      <c r="F23" s="50" t="n">
        <v>868.74</v>
      </c>
      <c r="G23" s="51" t="n">
        <v>-72.16</v>
      </c>
      <c r="H23" s="51" t="n">
        <v>-0.06</v>
      </c>
      <c r="I23" s="30" t="n">
        <v>192.49</v>
      </c>
      <c r="J23" s="51" t="n">
        <v>513.95</v>
      </c>
      <c r="K23" s="52">
        <f>IF(AND(B23="SELL",E23&gt;0,J23&lt;&gt;""),J23/E23,0)</f>
        <v/>
      </c>
      <c r="L23" s="52" t="n">
        <v>0.547</v>
      </c>
      <c r="M23" s="50">
        <f>IF(AND(B23="SELL",L23&gt;0),D23*L23,0)</f>
        <v/>
      </c>
      <c r="N23" s="46" t="n"/>
      <c r="O23" s="53">
        <f>IF(AND(B23="SELL",G23&lt;&gt;0),Q23/ABS(G23),0)</f>
        <v/>
      </c>
      <c r="P23" s="53">
        <f>IF(AND(B23="SELL",D23&gt;0),R23/D23,0)</f>
        <v/>
      </c>
      <c r="Q23" s="54">
        <f>IF(AND(B23="SELL",D23&gt;0,E23&gt;0),(D23/E23)+G23,0)</f>
        <v/>
      </c>
      <c r="R23" s="55">
        <f>IF(B23="SELL",Q23*F23,0)</f>
        <v/>
      </c>
      <c r="S23" s="35">
        <f>S22+R23</f>
        <v/>
      </c>
    </row>
    <row r="24" ht="15.75" customHeight="1" s="94">
      <c r="A24" s="36" t="n">
        <v>23</v>
      </c>
      <c r="B24" s="37" t="inlineStr">
        <is>
          <t>SELL</t>
        </is>
      </c>
      <c r="C24" s="38" t="n">
        <v>46055</v>
      </c>
      <c r="D24" s="39" t="n">
        <v>50000</v>
      </c>
      <c r="E24" s="40" t="n">
        <v>868.74</v>
      </c>
      <c r="F24" s="40" t="n">
        <v>868.74</v>
      </c>
      <c r="G24" s="41" t="n">
        <v>-53.1</v>
      </c>
      <c r="H24" s="41" t="n">
        <v>-0.06</v>
      </c>
      <c r="I24" s="19" t="n">
        <v>139.33</v>
      </c>
      <c r="J24" s="41" t="n">
        <v>515</v>
      </c>
      <c r="K24" s="42">
        <f>IF(AND(B24="SELL",E24&gt;0,J24&lt;&gt;""),J24/E24,0)</f>
        <v/>
      </c>
      <c r="L24" s="42" t="n">
        <v>0.547</v>
      </c>
      <c r="M24" s="40">
        <f>IF(AND(B24="SELL",L24&gt;0),D24*L24,0)</f>
        <v/>
      </c>
      <c r="N24" s="36" t="n"/>
      <c r="O24" s="43">
        <f>IF(AND(B24="SELL",G24&lt;&gt;0),Q24/ABS(G24),0)</f>
        <v/>
      </c>
      <c r="P24" s="43">
        <f>IF(AND(B24="SELL",D24&gt;0),R24/D24,0)</f>
        <v/>
      </c>
      <c r="Q24" s="44">
        <f>IF(AND(B24="SELL",D24&gt;0,E24&gt;0),(D24/E24)+G24,0)</f>
        <v/>
      </c>
      <c r="R24" s="45">
        <f>IF(B24="SELL",Q24*F24,0)</f>
        <v/>
      </c>
      <c r="S24" s="24">
        <f>S23+R24</f>
        <v/>
      </c>
    </row>
    <row r="25" ht="15.75" customHeight="1" s="94">
      <c r="A25" s="46" t="n">
        <v>24</v>
      </c>
      <c r="B25" s="47" t="inlineStr">
        <is>
          <t>SELL</t>
        </is>
      </c>
      <c r="C25" s="48" t="n">
        <v>46055</v>
      </c>
      <c r="D25" s="49" t="n">
        <v>72000</v>
      </c>
      <c r="E25" s="50" t="n">
        <v>868.74</v>
      </c>
      <c r="F25" s="50" t="n">
        <v>868.74</v>
      </c>
      <c r="G25" s="51" t="n">
        <v>-76.36</v>
      </c>
      <c r="H25" s="51" t="n">
        <v>-0.06</v>
      </c>
      <c r="I25" s="30" t="n">
        <v>62.9100000000004</v>
      </c>
      <c r="J25" s="51" t="n">
        <v>515.705</v>
      </c>
      <c r="K25" s="52">
        <f>IF(AND(B25="SELL",E25&gt;0,J25&lt;&gt;""),J25/E25,0)</f>
        <v/>
      </c>
      <c r="L25" s="52" t="n">
        <v>0.547</v>
      </c>
      <c r="M25" s="50">
        <f>IF(AND(B25="SELL",L25&gt;0),D25*L25,0)</f>
        <v/>
      </c>
      <c r="N25" s="46" t="n"/>
      <c r="O25" s="53">
        <f>IF(AND(B25="SELL",G25&lt;&gt;0),Q25/ABS(G25),0)</f>
        <v/>
      </c>
      <c r="P25" s="53">
        <f>IF(AND(B25="SELL",D25&gt;0),R25/D25,0)</f>
        <v/>
      </c>
      <c r="Q25" s="54">
        <f>IF(AND(B25="SELL",D25&gt;0,E25&gt;0),(D25/E25)+G25,0)</f>
        <v/>
      </c>
      <c r="R25" s="55">
        <f>IF(B25="SELL",Q25*F25,0)</f>
        <v/>
      </c>
      <c r="S25" s="35">
        <f>S24+R25</f>
        <v/>
      </c>
    </row>
    <row r="26" ht="15.75" customHeight="1" s="94">
      <c r="A26" s="36" t="n">
        <v>25</v>
      </c>
      <c r="B26" s="37" t="inlineStr">
        <is>
          <t>SELL</t>
        </is>
      </c>
      <c r="C26" s="38" t="n">
        <v>46055</v>
      </c>
      <c r="D26" s="39" t="n">
        <v>20000</v>
      </c>
      <c r="E26" s="40" t="n">
        <v>868.74</v>
      </c>
      <c r="F26" s="40" t="n">
        <v>868.74</v>
      </c>
      <c r="G26" s="41" t="n">
        <v>-21.39</v>
      </c>
      <c r="H26" s="41" t="n">
        <v>-0.06</v>
      </c>
      <c r="I26" s="19" t="n">
        <v>41.4600000000004</v>
      </c>
      <c r="J26" s="41" t="n">
        <v>511.311</v>
      </c>
      <c r="K26" s="42">
        <f>IF(AND(B26="SELL",E26&gt;0,J26&lt;&gt;""),J26/E26,0)</f>
        <v/>
      </c>
      <c r="L26" s="42" t="n">
        <v>0.547</v>
      </c>
      <c r="M26" s="40">
        <f>IF(AND(B26="SELL",L26&gt;0),D26*L26,0)</f>
        <v/>
      </c>
      <c r="N26" s="36" t="n"/>
      <c r="O26" s="43">
        <f>IF(AND(B26="SELL",G26&lt;&gt;0),Q26/ABS(G26),0)</f>
        <v/>
      </c>
      <c r="P26" s="43">
        <f>IF(AND(B26="SELL",D26&gt;0),R26/D26,0)</f>
        <v/>
      </c>
      <c r="Q26" s="44">
        <f>IF(AND(B26="SELL",D26&gt;0,E26&gt;0),(D26/E26)+G26,0)</f>
        <v/>
      </c>
      <c r="R26" s="45">
        <f>IF(B26="SELL",Q26*F26,0)</f>
        <v/>
      </c>
      <c r="S26" s="24">
        <f>S25+R26</f>
        <v/>
      </c>
    </row>
    <row r="27" ht="15.75" customHeight="1" s="94">
      <c r="A27" s="25" t="n">
        <v>26</v>
      </c>
      <c r="B27" s="26" t="inlineStr">
        <is>
          <t>BUY</t>
        </is>
      </c>
      <c r="C27" s="27" t="n">
        <v>46055</v>
      </c>
      <c r="D27" s="28" t="n">
        <v>1821000</v>
      </c>
      <c r="E27" s="29" t="n">
        <v>875.25</v>
      </c>
      <c r="F27" s="29" t="n">
        <v>875.25</v>
      </c>
      <c r="G27" s="30" t="n">
        <v>2080.54</v>
      </c>
      <c r="H27" s="30" t="n">
        <v>-0.06</v>
      </c>
      <c r="I27" s="30" t="n">
        <v>2121.94</v>
      </c>
      <c r="J27" s="30" t="n"/>
      <c r="K27" s="31">
        <f>IF(AND(B27="SELL",E27&gt;0,J27&lt;&gt;""),J27/E27,0)</f>
        <v/>
      </c>
      <c r="L27" s="31" t="n"/>
      <c r="M27" s="29">
        <f>IF(AND(B27="SELL",L27&gt;0),D27*L27,0)</f>
        <v/>
      </c>
      <c r="N27" s="25" t="n"/>
      <c r="O27" s="32">
        <f>IF(AND(B27="SELL",G27&lt;&gt;0),Q27/ABS(G27),0)</f>
        <v/>
      </c>
      <c r="P27" s="32">
        <f>IF(AND(B27="SELL",D27&gt;0),R27/D27,0)</f>
        <v/>
      </c>
      <c r="Q27" s="33">
        <f>IF(AND(B27="SELL",D27&gt;0,E27&gt;0),(D27/E27)+G27,0)</f>
        <v/>
      </c>
      <c r="R27" s="34">
        <f>IF(B27="SELL",Q27*F27,0)</f>
        <v/>
      </c>
      <c r="S27" s="35">
        <f>S26+R27</f>
        <v/>
      </c>
    </row>
    <row r="28" ht="15.75" customHeight="1" s="94">
      <c r="A28" s="36" t="n">
        <v>27</v>
      </c>
      <c r="B28" s="37" t="inlineStr">
        <is>
          <t>SELL</t>
        </is>
      </c>
      <c r="C28" s="38" t="n">
        <v>46055</v>
      </c>
      <c r="D28" s="39" t="n">
        <v>10000</v>
      </c>
      <c r="E28" s="40" t="n">
        <v>875.25</v>
      </c>
      <c r="F28" s="40" t="n">
        <v>875.25</v>
      </c>
      <c r="G28" s="41" t="n">
        <v>-10.58</v>
      </c>
      <c r="H28" s="41" t="n">
        <v>-0.06</v>
      </c>
      <c r="I28" s="19" t="n">
        <v>2111.3</v>
      </c>
      <c r="J28" s="41" t="n">
        <v>516.85</v>
      </c>
      <c r="K28" s="42">
        <f>IF(AND(B28="SELL",E28&gt;0,J28&lt;&gt;""),J28/E28,0)</f>
        <v/>
      </c>
      <c r="L28" s="42" t="n">
        <v>0.547</v>
      </c>
      <c r="M28" s="40">
        <f>IF(AND(B28="SELL",L28&gt;0),D28*L28,0)</f>
        <v/>
      </c>
      <c r="N28" s="36" t="n"/>
      <c r="O28" s="43">
        <f>IF(AND(B28="SELL",G28&lt;&gt;0),Q28/ABS(G28),0)</f>
        <v/>
      </c>
      <c r="P28" s="43">
        <f>IF(AND(B28="SELL",D28&gt;0),R28/D28,0)</f>
        <v/>
      </c>
      <c r="Q28" s="44">
        <f>IF(AND(B28="SELL",D28&gt;0,E28&gt;0),(D28/E28)+G28,0)</f>
        <v/>
      </c>
      <c r="R28" s="45">
        <f>IF(B28="SELL",Q28*F28,0)</f>
        <v/>
      </c>
      <c r="S28" s="24">
        <f>S27+R28</f>
        <v/>
      </c>
    </row>
    <row r="29" ht="15.75" customHeight="1" s="94">
      <c r="A29" s="46" t="n">
        <v>28</v>
      </c>
      <c r="B29" s="47" t="inlineStr">
        <is>
          <t>SELL</t>
        </is>
      </c>
      <c r="C29" s="48" t="n">
        <v>46055</v>
      </c>
      <c r="D29" s="49" t="n">
        <v>283000</v>
      </c>
      <c r="E29" s="50" t="n">
        <v>875.25</v>
      </c>
      <c r="F29" s="50" t="n">
        <v>875.25</v>
      </c>
      <c r="G29" s="51" t="n">
        <v>-294.83</v>
      </c>
      <c r="H29" s="51" t="n">
        <v>-0.06</v>
      </c>
      <c r="I29" s="30" t="n">
        <v>1816.41</v>
      </c>
      <c r="J29" s="51" t="n">
        <v>526.005</v>
      </c>
      <c r="K29" s="52">
        <f>IF(AND(B29="SELL",E29&gt;0,J29&lt;&gt;""),J29/E29,0)</f>
        <v/>
      </c>
      <c r="L29" s="52" t="n">
        <v>0.548</v>
      </c>
      <c r="M29" s="50">
        <f>IF(AND(B29="SELL",L29&gt;0),D29*L29,0)</f>
        <v/>
      </c>
      <c r="N29" s="46" t="n"/>
      <c r="O29" s="53">
        <f>IF(AND(B29="SELL",G29&lt;&gt;0),Q29/ABS(G29),0)</f>
        <v/>
      </c>
      <c r="P29" s="53">
        <f>IF(AND(B29="SELL",D29&gt;0),R29/D29,0)</f>
        <v/>
      </c>
      <c r="Q29" s="54">
        <f>IF(AND(B29="SELL",D29&gt;0,E29&gt;0),(D29/E29)+G29,0)</f>
        <v/>
      </c>
      <c r="R29" s="55">
        <f>IF(B29="SELL",Q29*F29,0)</f>
        <v/>
      </c>
      <c r="S29" s="35">
        <f>S28+R29</f>
        <v/>
      </c>
    </row>
    <row r="30" ht="15.75" customHeight="1" s="94">
      <c r="A30" s="36" t="n">
        <v>29</v>
      </c>
      <c r="B30" s="37" t="inlineStr">
        <is>
          <t>SELL</t>
        </is>
      </c>
      <c r="C30" s="38" t="n">
        <v>46056</v>
      </c>
      <c r="D30" s="39" t="n">
        <v>20000</v>
      </c>
      <c r="E30" s="40" t="n">
        <v>875.25</v>
      </c>
      <c r="F30" s="40" t="n">
        <v>875.25</v>
      </c>
      <c r="G30" s="41" t="n">
        <v>-21.74</v>
      </c>
      <c r="H30" s="41" t="n">
        <v>-0.06</v>
      </c>
      <c r="I30" s="19" t="n">
        <v>1794.61</v>
      </c>
      <c r="J30" s="41" t="n">
        <v>514.999</v>
      </c>
      <c r="K30" s="42">
        <f>IF(AND(B30="SELL",E30&gt;0,J30&lt;&gt;""),J30/E30,0)</f>
        <v/>
      </c>
      <c r="L30" s="42" t="n">
        <v>0.5600000000000001</v>
      </c>
      <c r="M30" s="40">
        <f>IF(AND(B30="SELL",L30&gt;0),D30*L30,0)</f>
        <v/>
      </c>
      <c r="N30" s="36" t="n"/>
      <c r="O30" s="43">
        <f>IF(AND(B30="SELL",G30&lt;&gt;0),Q30/ABS(G30),0)</f>
        <v/>
      </c>
      <c r="P30" s="43">
        <f>IF(AND(B30="SELL",D30&gt;0),R30/D30,0)</f>
        <v/>
      </c>
      <c r="Q30" s="44">
        <f>IF(AND(B30="SELL",D30&gt;0,E30&gt;0),(D30/E30)+G30,0)</f>
        <v/>
      </c>
      <c r="R30" s="45">
        <f>IF(B30="SELL",Q30*F30,0)</f>
        <v/>
      </c>
      <c r="S30" s="24">
        <f>S29+R30</f>
        <v/>
      </c>
    </row>
    <row r="31" ht="15.75" customHeight="1" s="94">
      <c r="A31" s="46" t="n">
        <v>30</v>
      </c>
      <c r="B31" s="47" t="inlineStr">
        <is>
          <t>SELL</t>
        </is>
      </c>
      <c r="C31" s="48" t="n">
        <v>46056</v>
      </c>
      <c r="D31" s="49" t="n">
        <v>50000</v>
      </c>
      <c r="E31" s="50" t="n">
        <v>875.25</v>
      </c>
      <c r="F31" s="50" t="n">
        <v>875.25</v>
      </c>
      <c r="G31" s="51" t="n">
        <v>-53.78</v>
      </c>
      <c r="H31" s="51" t="n">
        <v>-0.06</v>
      </c>
      <c r="I31" s="30" t="n">
        <v>1740.77</v>
      </c>
      <c r="J31" s="51" t="n">
        <v>520.55</v>
      </c>
      <c r="K31" s="52">
        <f>IF(AND(B31="SELL",E31&gt;0,J31&lt;&gt;""),J31/E31,0)</f>
        <v/>
      </c>
      <c r="L31" s="52" t="n">
        <v>0.5600000000000001</v>
      </c>
      <c r="M31" s="50">
        <f>IF(AND(B31="SELL",L31&gt;0),D31*L31,0)</f>
        <v/>
      </c>
      <c r="N31" s="46" t="n"/>
      <c r="O31" s="53">
        <f>IF(AND(B31="SELL",G31&lt;&gt;0),Q31/ABS(G31),0)</f>
        <v/>
      </c>
      <c r="P31" s="53">
        <f>IF(AND(B31="SELL",D31&gt;0),R31/D31,0)</f>
        <v/>
      </c>
      <c r="Q31" s="54">
        <f>IF(AND(B31="SELL",D31&gt;0,E31&gt;0),(D31/E31)+G31,0)</f>
        <v/>
      </c>
      <c r="R31" s="55">
        <f>IF(B31="SELL",Q31*F31,0)</f>
        <v/>
      </c>
      <c r="S31" s="35">
        <f>S30+R31</f>
        <v/>
      </c>
    </row>
    <row r="32" ht="15.75" customHeight="1" s="94">
      <c r="A32" s="36" t="n">
        <v>31</v>
      </c>
      <c r="B32" s="37" t="inlineStr">
        <is>
          <t>SELL</t>
        </is>
      </c>
      <c r="C32" s="38" t="n">
        <v>46056</v>
      </c>
      <c r="D32" s="39" t="n">
        <v>63000</v>
      </c>
      <c r="E32" s="40" t="n">
        <v>875.25</v>
      </c>
      <c r="F32" s="40" t="n">
        <v>875.25</v>
      </c>
      <c r="G32" s="41" t="n">
        <v>-67.81</v>
      </c>
      <c r="H32" s="41" t="n">
        <v>-0.06</v>
      </c>
      <c r="I32" s="19" t="n">
        <v>1672.9</v>
      </c>
      <c r="J32" s="41" t="n">
        <v>520.225</v>
      </c>
      <c r="K32" s="42">
        <f>IF(AND(B32="SELL",E32&gt;0,J32&lt;&gt;""),J32/E32,0)</f>
        <v/>
      </c>
      <c r="L32" s="42" t="n">
        <v>0.5600000000000001</v>
      </c>
      <c r="M32" s="40">
        <f>IF(AND(B32="SELL",L32&gt;0),D32*L32,0)</f>
        <v/>
      </c>
      <c r="N32" s="36" t="n"/>
      <c r="O32" s="43">
        <f>IF(AND(B32="SELL",G32&lt;&gt;0),Q32/ABS(G32),0)</f>
        <v/>
      </c>
      <c r="P32" s="43">
        <f>IF(AND(B32="SELL",D32&gt;0),R32/D32,0)</f>
        <v/>
      </c>
      <c r="Q32" s="44">
        <f>IF(AND(B32="SELL",D32&gt;0,E32&gt;0),(D32/E32)+G32,0)</f>
        <v/>
      </c>
      <c r="R32" s="45">
        <f>IF(B32="SELL",Q32*F32,0)</f>
        <v/>
      </c>
      <c r="S32" s="24">
        <f>S31+R32</f>
        <v/>
      </c>
    </row>
    <row r="33" ht="15.75" customHeight="1" s="94">
      <c r="A33" s="46" t="n">
        <v>32</v>
      </c>
      <c r="B33" s="47" t="inlineStr">
        <is>
          <t>SELL</t>
        </is>
      </c>
      <c r="C33" s="48" t="n">
        <v>46056</v>
      </c>
      <c r="D33" s="49" t="n">
        <v>400000</v>
      </c>
      <c r="E33" s="50" t="n">
        <v>875.25</v>
      </c>
      <c r="F33" s="50" t="n">
        <v>875.25</v>
      </c>
      <c r="G33" s="51" t="n">
        <v>-426.12</v>
      </c>
      <c r="H33" s="51" t="n">
        <v>-0.06</v>
      </c>
      <c r="I33" s="30" t="n">
        <v>1246.72</v>
      </c>
      <c r="J33" s="51" t="n">
        <v>526.6</v>
      </c>
      <c r="K33" s="52">
        <f>IF(AND(B33="SELL",E33&gt;0,J33&lt;&gt;""),J33/E33,0)</f>
        <v/>
      </c>
      <c r="L33" s="52" t="n">
        <v>0.5610000000000001</v>
      </c>
      <c r="M33" s="50">
        <f>IF(AND(B33="SELL",L33&gt;0),D33*L33,0)</f>
        <v/>
      </c>
      <c r="N33" s="46" t="n"/>
      <c r="O33" s="53">
        <f>IF(AND(B33="SELL",G33&lt;&gt;0),Q33/ABS(G33),0)</f>
        <v/>
      </c>
      <c r="P33" s="53">
        <f>IF(AND(B33="SELL",D33&gt;0),R33/D33,0)</f>
        <v/>
      </c>
      <c r="Q33" s="54">
        <f>IF(AND(B33="SELL",D33&gt;0,E33&gt;0),(D33/E33)+G33,0)</f>
        <v/>
      </c>
      <c r="R33" s="55">
        <f>IF(B33="SELL",Q33*F33,0)</f>
        <v/>
      </c>
      <c r="S33" s="35">
        <f>S32+R33</f>
        <v/>
      </c>
    </row>
    <row r="34" ht="15.75" customHeight="1" s="94">
      <c r="A34" s="36" t="n">
        <v>33</v>
      </c>
      <c r="B34" s="37" t="inlineStr">
        <is>
          <t>SELL</t>
        </is>
      </c>
      <c r="C34" s="38" t="n">
        <v>46056</v>
      </c>
      <c r="D34" s="39" t="n">
        <v>240000</v>
      </c>
      <c r="E34" s="40" t="n">
        <v>875.25</v>
      </c>
      <c r="F34" s="40" t="n">
        <v>875.25</v>
      </c>
      <c r="G34" s="41" t="n">
        <v>-253.13</v>
      </c>
      <c r="H34" s="41" t="n">
        <v>-0.06</v>
      </c>
      <c r="I34" s="19" t="n">
        <v>993.530000000001</v>
      </c>
      <c r="J34" s="41" t="n">
        <v>531.9</v>
      </c>
      <c r="K34" s="42">
        <f>IF(AND(B34="SELL",E34&gt;0,J34&lt;&gt;""),J34/E34,0)</f>
        <v/>
      </c>
      <c r="L34" s="42" t="n">
        <v>0.5610000000000001</v>
      </c>
      <c r="M34" s="40">
        <f>IF(AND(B34="SELL",L34&gt;0),D34*L34,0)</f>
        <v/>
      </c>
      <c r="N34" s="36" t="n"/>
      <c r="O34" s="43">
        <f>IF(AND(B34="SELL",G34&lt;&gt;0),Q34/ABS(G34),0)</f>
        <v/>
      </c>
      <c r="P34" s="43">
        <f>IF(AND(B34="SELL",D34&gt;0),R34/D34,0)</f>
        <v/>
      </c>
      <c r="Q34" s="44">
        <f>IF(AND(B34="SELL",D34&gt;0,E34&gt;0),(D34/E34)+G34,0)</f>
        <v/>
      </c>
      <c r="R34" s="45">
        <f>IF(B34="SELL",Q34*F34,0)</f>
        <v/>
      </c>
      <c r="S34" s="24">
        <f>S33+R34</f>
        <v/>
      </c>
    </row>
    <row r="35" ht="15.75" customHeight="1" s="94">
      <c r="A35" s="46" t="n">
        <v>34</v>
      </c>
      <c r="B35" s="47" t="inlineStr">
        <is>
          <t>SELL</t>
        </is>
      </c>
      <c r="C35" s="48" t="n">
        <v>46056</v>
      </c>
      <c r="D35" s="49" t="n">
        <v>18000</v>
      </c>
      <c r="E35" s="50" t="n">
        <v>875.25</v>
      </c>
      <c r="F35" s="50" t="n">
        <v>875.25</v>
      </c>
      <c r="G35" s="51" t="n">
        <v>-19</v>
      </c>
      <c r="H35" s="51" t="n">
        <v>-0.06</v>
      </c>
      <c r="I35" s="30" t="n">
        <v>964.180000000001</v>
      </c>
      <c r="J35" s="51" t="n">
        <v>531.9</v>
      </c>
      <c r="K35" s="52">
        <f>IF(AND(B35="SELL",E35&gt;0,J35&lt;&gt;""),J35/E35,0)</f>
        <v/>
      </c>
      <c r="L35" s="52" t="n">
        <v>0.5600000000000001</v>
      </c>
      <c r="M35" s="50">
        <f>IF(AND(B35="SELL",L35&gt;0),D35*L35,0)</f>
        <v/>
      </c>
      <c r="N35" s="46" t="inlineStr">
        <is>
          <t>Cambio por ajuste</t>
        </is>
      </c>
      <c r="O35" s="53">
        <f>IF(AND(B35="SELL",G35&lt;&gt;0),Q35/ABS(G35),0)</f>
        <v/>
      </c>
      <c r="P35" s="53">
        <f>IF(AND(B35="SELL",D35&gt;0),R35/D35,0)</f>
        <v/>
      </c>
      <c r="Q35" s="54">
        <f>IF(AND(B35="SELL",D35&gt;0,E35&gt;0),(D35/E35)+G35,0)</f>
        <v/>
      </c>
      <c r="R35" s="55">
        <f>IF(B35="SELL",Q35*F35,0)</f>
        <v/>
      </c>
      <c r="S35" s="35">
        <f>S34+R35</f>
        <v/>
      </c>
    </row>
    <row r="36" ht="15.75" customHeight="1" s="94">
      <c r="A36" s="36" t="n">
        <v>35</v>
      </c>
      <c r="B36" s="37" t="inlineStr">
        <is>
          <t>SELL</t>
        </is>
      </c>
      <c r="C36" s="38" t="n">
        <v>46057</v>
      </c>
      <c r="D36" s="39" t="n">
        <v>140000</v>
      </c>
      <c r="E36" s="40" t="n">
        <v>875.25</v>
      </c>
      <c r="F36" s="40" t="n">
        <v>875.25</v>
      </c>
      <c r="G36" s="41" t="n">
        <v>-150.86</v>
      </c>
      <c r="H36" s="41" t="n">
        <v>-0.06</v>
      </c>
      <c r="I36" s="19" t="n">
        <v>813.260000000001</v>
      </c>
      <c r="J36" s="41" t="n">
        <v>520.61</v>
      </c>
      <c r="K36" s="42">
        <f>IF(AND(B36="SELL",E36&gt;0,J36&lt;&gt;""),J36/E36,0)</f>
        <v/>
      </c>
      <c r="L36" s="42" t="n">
        <v>0.5610000000000001</v>
      </c>
      <c r="M36" s="40">
        <f>IF(AND(B36="SELL",L36&gt;0),D36*L36,0)</f>
        <v/>
      </c>
      <c r="N36" s="36" t="n"/>
      <c r="O36" s="43">
        <f>IF(AND(B36="SELL",G36&lt;&gt;0),Q36/ABS(G36),0)</f>
        <v/>
      </c>
      <c r="P36" s="43">
        <f>IF(AND(B36="SELL",D36&gt;0),R36/D36,0)</f>
        <v/>
      </c>
      <c r="Q36" s="44">
        <f>IF(AND(B36="SELL",D36&gt;0,E36&gt;0),(D36/E36)+G36,0)</f>
        <v/>
      </c>
      <c r="R36" s="45">
        <f>IF(B36="SELL",Q36*F36,0)</f>
        <v/>
      </c>
      <c r="S36" s="24">
        <f>S35+R36</f>
        <v/>
      </c>
    </row>
    <row r="37" ht="15.75" customHeight="1" s="94">
      <c r="A37" s="46" t="n">
        <v>36</v>
      </c>
      <c r="B37" s="47" t="inlineStr">
        <is>
          <t>SELL</t>
        </is>
      </c>
      <c r="C37" s="48" t="n">
        <v>46057</v>
      </c>
      <c r="D37" s="49" t="n">
        <v>50000</v>
      </c>
      <c r="E37" s="50" t="n">
        <v>875.25</v>
      </c>
      <c r="F37" s="50" t="n">
        <v>875.25</v>
      </c>
      <c r="G37" s="51" t="n">
        <v>-54.56</v>
      </c>
      <c r="H37" s="51" t="n">
        <v>-0.06</v>
      </c>
      <c r="I37" s="30" t="n">
        <v>758.640000000001</v>
      </c>
      <c r="J37" s="51" t="n">
        <v>514.1</v>
      </c>
      <c r="K37" s="52">
        <f>IF(AND(B37="SELL",E37&gt;0,J37&lt;&gt;""),J37/E37,0)</f>
        <v/>
      </c>
      <c r="L37" s="52" t="n">
        <v>0.5610000000000001</v>
      </c>
      <c r="M37" s="50">
        <f>IF(AND(B37="SELL",L37&gt;0),D37*L37,0)</f>
        <v/>
      </c>
      <c r="N37" s="46" t="n"/>
      <c r="O37" s="53">
        <f>IF(AND(B37="SELL",G37&lt;&gt;0),Q37/ABS(G37),0)</f>
        <v/>
      </c>
      <c r="P37" s="53">
        <f>IF(AND(B37="SELL",D37&gt;0),R37/D37,0)</f>
        <v/>
      </c>
      <c r="Q37" s="54">
        <f>IF(AND(B37="SELL",D37&gt;0,E37&gt;0),(D37/E37)+G37,0)</f>
        <v/>
      </c>
      <c r="R37" s="55">
        <f>IF(B37="SELL",Q37*F37,0)</f>
        <v/>
      </c>
      <c r="S37" s="35">
        <f>S36+R37</f>
        <v/>
      </c>
    </row>
    <row r="38" ht="15.75" customHeight="1" s="94">
      <c r="A38" s="36" t="n">
        <v>37</v>
      </c>
      <c r="B38" s="37" t="inlineStr">
        <is>
          <t>SELL</t>
        </is>
      </c>
      <c r="C38" s="38" t="n">
        <v>46057</v>
      </c>
      <c r="D38" s="39" t="n">
        <v>100000</v>
      </c>
      <c r="E38" s="40" t="n">
        <v>875.25</v>
      </c>
      <c r="F38" s="40" t="n">
        <v>875.25</v>
      </c>
      <c r="G38" s="41" t="n">
        <v>-106.13</v>
      </c>
      <c r="H38" s="41" t="n">
        <v>-0.06</v>
      </c>
      <c r="I38" s="19" t="n">
        <v>652.450000000001</v>
      </c>
      <c r="J38" s="41" t="n">
        <v>528.551</v>
      </c>
      <c r="K38" s="42">
        <f>IF(AND(B38="SELL",E38&gt;0,J38&lt;&gt;""),J38/E38,0)</f>
        <v/>
      </c>
      <c r="L38" s="42" t="n">
        <v>0.5610000000000001</v>
      </c>
      <c r="M38" s="40">
        <f>IF(AND(B38="SELL",L38&gt;0),D38*L38,0)</f>
        <v/>
      </c>
      <c r="N38" s="36" t="n"/>
      <c r="O38" s="43">
        <f>IF(AND(B38="SELL",G38&lt;&gt;0),Q38/ABS(G38),0)</f>
        <v/>
      </c>
      <c r="P38" s="43">
        <f>IF(AND(B38="SELL",D38&gt;0),R38/D38,0)</f>
        <v/>
      </c>
      <c r="Q38" s="44">
        <f>IF(AND(B38="SELL",D38&gt;0,E38&gt;0),(D38/E38)+G38,0)</f>
        <v/>
      </c>
      <c r="R38" s="45">
        <f>IF(B38="SELL",Q38*F38,0)</f>
        <v/>
      </c>
      <c r="S38" s="24">
        <f>S37+R38</f>
        <v/>
      </c>
    </row>
    <row r="39" ht="15.75" customHeight="1" s="94">
      <c r="A39" s="46" t="n">
        <v>38</v>
      </c>
      <c r="B39" s="47" t="inlineStr">
        <is>
          <t>SELL</t>
        </is>
      </c>
      <c r="C39" s="48" t="n">
        <v>46057</v>
      </c>
      <c r="D39" s="49" t="n">
        <v>75000</v>
      </c>
      <c r="E39" s="50" t="n">
        <v>875.25</v>
      </c>
      <c r="F39" s="50" t="n">
        <v>875.25</v>
      </c>
      <c r="G39" s="51" t="n">
        <v>-79.58</v>
      </c>
      <c r="H39" s="51" t="n">
        <v>-0.06</v>
      </c>
      <c r="I39" s="30" t="n">
        <v>572.810000000001</v>
      </c>
      <c r="J39" s="51" t="n">
        <v>528.7</v>
      </c>
      <c r="K39" s="52">
        <f>IF(AND(B39="SELL",E39&gt;0,J39&lt;&gt;""),J39/E39,0)</f>
        <v/>
      </c>
      <c r="L39" s="52" t="n">
        <v>0.5610000000000001</v>
      </c>
      <c r="M39" s="50">
        <f>IF(AND(B39="SELL",L39&gt;0),D39*L39,0)</f>
        <v/>
      </c>
      <c r="N39" s="46" t="n"/>
      <c r="O39" s="53">
        <f>IF(AND(B39="SELL",G39&lt;&gt;0),Q39/ABS(G39),0)</f>
        <v/>
      </c>
      <c r="P39" s="53">
        <f>IF(AND(B39="SELL",D39&gt;0),R39/D39,0)</f>
        <v/>
      </c>
      <c r="Q39" s="54">
        <f>IF(AND(B39="SELL",D39&gt;0,E39&gt;0),(D39/E39)+G39,0)</f>
        <v/>
      </c>
      <c r="R39" s="55">
        <f>IF(B39="SELL",Q39*F39,0)</f>
        <v/>
      </c>
      <c r="S39" s="35">
        <f>S38+R39</f>
        <v/>
      </c>
    </row>
    <row r="40" ht="15.75" customHeight="1" s="94">
      <c r="A40" s="36" t="n">
        <v>39</v>
      </c>
      <c r="B40" s="37" t="inlineStr">
        <is>
          <t>SELL</t>
        </is>
      </c>
      <c r="C40" s="38" t="n">
        <v>46057</v>
      </c>
      <c r="D40" s="39" t="n">
        <v>215000</v>
      </c>
      <c r="E40" s="40" t="n">
        <v>875.25</v>
      </c>
      <c r="F40" s="40" t="n">
        <v>875.25</v>
      </c>
      <c r="G40" s="41" t="n">
        <v>-227.72</v>
      </c>
      <c r="H40" s="41" t="n">
        <v>-0.06</v>
      </c>
      <c r="I40" s="19" t="n">
        <v>345.030000000001</v>
      </c>
      <c r="J40" s="41" t="n">
        <v>530.6</v>
      </c>
      <c r="K40" s="42">
        <f>IF(AND(B40="SELL",E40&gt;0,J40&lt;&gt;""),J40/E40,0)</f>
        <v/>
      </c>
      <c r="L40" s="42" t="n">
        <v>0.5620000000000001</v>
      </c>
      <c r="M40" s="40">
        <f>IF(AND(B40="SELL",L40&gt;0),D40*L40,0)</f>
        <v/>
      </c>
      <c r="N40" s="36" t="n"/>
      <c r="O40" s="43">
        <f>IF(AND(B40="SELL",G40&lt;&gt;0),Q40/ABS(G40),0)</f>
        <v/>
      </c>
      <c r="P40" s="43">
        <f>IF(AND(B40="SELL",D40&gt;0),R40/D40,0)</f>
        <v/>
      </c>
      <c r="Q40" s="44">
        <f>IF(AND(B40="SELL",D40&gt;0,E40&gt;0),(D40/E40)+G40,0)</f>
        <v/>
      </c>
      <c r="R40" s="45">
        <f>IF(B40="SELL",Q40*F40,0)</f>
        <v/>
      </c>
      <c r="S40" s="24">
        <f>S39+R40</f>
        <v/>
      </c>
    </row>
    <row r="41" ht="15.75" customHeight="1" s="94">
      <c r="A41" s="46" t="n">
        <v>40</v>
      </c>
      <c r="B41" s="47" t="inlineStr">
        <is>
          <t>SELL</t>
        </is>
      </c>
      <c r="C41" s="48" t="n">
        <v>46057</v>
      </c>
      <c r="D41" s="49" t="n">
        <v>75000</v>
      </c>
      <c r="E41" s="50" t="n">
        <v>875.25</v>
      </c>
      <c r="F41" s="50" t="n">
        <v>875.25</v>
      </c>
      <c r="G41" s="51" t="n">
        <v>-79.73999999999999</v>
      </c>
      <c r="H41" s="51" t="n">
        <v>-0.06</v>
      </c>
      <c r="I41" s="30" t="n">
        <v>265.230000000001</v>
      </c>
      <c r="J41" s="51" t="n">
        <v>528</v>
      </c>
      <c r="K41" s="52">
        <f>IF(AND(B41="SELL",E41&gt;0,J41&lt;&gt;""),J41/E41,0)</f>
        <v/>
      </c>
      <c r="L41" s="52" t="n">
        <v>0.5610000000000001</v>
      </c>
      <c r="M41" s="50">
        <f>IF(AND(B41="SELL",L41&gt;0),D41*L41,0)</f>
        <v/>
      </c>
      <c r="N41" s="46" t="n"/>
      <c r="O41" s="53">
        <f>IF(AND(B41="SELL",G41&lt;&gt;0),Q41/ABS(G41),0)</f>
        <v/>
      </c>
      <c r="P41" s="53">
        <f>IF(AND(B41="SELL",D41&gt;0),R41/D41,0)</f>
        <v/>
      </c>
      <c r="Q41" s="54">
        <f>IF(AND(B41="SELL",D41&gt;0,E41&gt;0),(D41/E41)+G41,0)</f>
        <v/>
      </c>
      <c r="R41" s="55">
        <f>IF(B41="SELL",Q41*F41,0)</f>
        <v/>
      </c>
      <c r="S41" s="35">
        <f>S40+R41</f>
        <v/>
      </c>
    </row>
    <row r="42" ht="15.75" customHeight="1" s="94">
      <c r="A42" s="36" t="n">
        <v>41</v>
      </c>
      <c r="B42" s="37" t="inlineStr">
        <is>
          <t>SELL</t>
        </is>
      </c>
      <c r="C42" s="38" t="n">
        <v>46057</v>
      </c>
      <c r="D42" s="39" t="n">
        <v>16000</v>
      </c>
      <c r="E42" s="40" t="n">
        <v>875.25</v>
      </c>
      <c r="F42" s="40" t="n">
        <v>875.25</v>
      </c>
      <c r="G42" s="41" t="n">
        <v>-17.02</v>
      </c>
      <c r="H42" s="41" t="n">
        <v>-0.06</v>
      </c>
      <c r="I42" s="19" t="n">
        <v>248.150000000001</v>
      </c>
      <c r="J42" s="41" t="n">
        <v>527.1</v>
      </c>
      <c r="K42" s="42">
        <f>IF(AND(B42="SELL",E42&gt;0,J42&lt;&gt;""),J42/E42,0)</f>
        <v/>
      </c>
      <c r="L42" s="42" t="n">
        <v>0.5610000000000001</v>
      </c>
      <c r="M42" s="40">
        <f>IF(AND(B42="SELL",L42&gt;0),D42*L42,0)</f>
        <v/>
      </c>
      <c r="N42" s="36" t="n"/>
      <c r="O42" s="43">
        <f>IF(AND(B42="SELL",G42&lt;&gt;0),Q42/ABS(G42),0)</f>
        <v/>
      </c>
      <c r="P42" s="43">
        <f>IF(AND(B42="SELL",D42&gt;0),R42/D42,0)</f>
        <v/>
      </c>
      <c r="Q42" s="44">
        <f>IF(AND(B42="SELL",D42&gt;0,E42&gt;0),(D42/E42)+G42,0)</f>
        <v/>
      </c>
      <c r="R42" s="45">
        <f>IF(B42="SELL",Q42*F42,0)</f>
        <v/>
      </c>
      <c r="S42" s="24">
        <f>S41+R42</f>
        <v/>
      </c>
    </row>
    <row r="43" ht="15.75" customHeight="1" s="94">
      <c r="A43" s="46" t="n">
        <v>42</v>
      </c>
      <c r="B43" s="47" t="inlineStr">
        <is>
          <t>SELL</t>
        </is>
      </c>
      <c r="C43" s="48" t="n">
        <v>46057</v>
      </c>
      <c r="D43" s="49" t="n">
        <v>15000</v>
      </c>
      <c r="E43" s="50" t="n">
        <v>875.25</v>
      </c>
      <c r="F43" s="50" t="n">
        <v>875.25</v>
      </c>
      <c r="G43" s="51" t="n">
        <v>-16.02</v>
      </c>
      <c r="H43" s="51" t="n">
        <v>-0.06</v>
      </c>
      <c r="I43" s="30" t="n">
        <v>232.070000000001</v>
      </c>
      <c r="J43" s="51" t="n">
        <v>525.111</v>
      </c>
      <c r="K43" s="52">
        <f>IF(AND(B43="SELL",E43&gt;0,J43&lt;&gt;""),J43/E43,0)</f>
        <v/>
      </c>
      <c r="L43" s="52" t="n">
        <v>0.5610000000000001</v>
      </c>
      <c r="M43" s="50">
        <f>IF(AND(B43="SELL",L43&gt;0),D43*L43,0)</f>
        <v/>
      </c>
      <c r="N43" s="46" t="n"/>
      <c r="O43" s="53">
        <f>IF(AND(B43="SELL",G43&lt;&gt;0),Q43/ABS(G43),0)</f>
        <v/>
      </c>
      <c r="P43" s="53">
        <f>IF(AND(B43="SELL",D43&gt;0),R43/D43,0)</f>
        <v/>
      </c>
      <c r="Q43" s="54">
        <f>IF(AND(B43="SELL",D43&gt;0,E43&gt;0),(D43/E43)+G43,0)</f>
        <v/>
      </c>
      <c r="R43" s="55">
        <f>IF(B43="SELL",Q43*F43,0)</f>
        <v/>
      </c>
      <c r="S43" s="35">
        <f>S42+R43</f>
        <v/>
      </c>
    </row>
    <row r="44" ht="15.75" customHeight="1" s="94">
      <c r="A44" s="36" t="n">
        <v>43</v>
      </c>
      <c r="B44" s="37" t="inlineStr">
        <is>
          <t>SELL</t>
        </is>
      </c>
      <c r="C44" s="38" t="n">
        <v>46058</v>
      </c>
      <c r="D44" s="39" t="n">
        <v>90000</v>
      </c>
      <c r="E44" s="40" t="n">
        <v>875.25</v>
      </c>
      <c r="F44" s="40" t="n">
        <v>875.25</v>
      </c>
      <c r="G44" s="41" t="n">
        <v>-96.14</v>
      </c>
      <c r="H44" s="41" t="n">
        <v>-0.06</v>
      </c>
      <c r="I44" s="19" t="n">
        <v>135.870000000001</v>
      </c>
      <c r="J44" s="41" t="n">
        <v>533.55</v>
      </c>
      <c r="K44" s="42">
        <f>IF(AND(B44="SELL",E44&gt;0,J44&lt;&gt;""),J44/E44,0)</f>
        <v/>
      </c>
      <c r="L44" s="42" t="n">
        <v>0.57</v>
      </c>
      <c r="M44" s="40">
        <f>IF(AND(B44="SELL",L44&gt;0),D44*L44,0)</f>
        <v/>
      </c>
      <c r="N44" s="36" t="n"/>
      <c r="O44" s="43">
        <f>IF(AND(B44="SELL",G44&lt;&gt;0),Q44/ABS(G44),0)</f>
        <v/>
      </c>
      <c r="P44" s="43">
        <f>IF(AND(B44="SELL",D44&gt;0),R44/D44,0)</f>
        <v/>
      </c>
      <c r="Q44" s="44">
        <f>IF(AND(B44="SELL",D44&gt;0,E44&gt;0),(D44/E44)+G44,0)</f>
        <v/>
      </c>
      <c r="R44" s="45">
        <f>IF(B44="SELL",Q44*F44,0)</f>
        <v/>
      </c>
      <c r="S44" s="24">
        <f>S43+R44</f>
        <v/>
      </c>
    </row>
    <row r="45" ht="15.75" customHeight="1" s="94">
      <c r="A45" s="25" t="n">
        <v>44</v>
      </c>
      <c r="B45" s="26" t="inlineStr">
        <is>
          <t>BUY</t>
        </is>
      </c>
      <c r="C45" s="27" t="n">
        <v>46058</v>
      </c>
      <c r="D45" s="28" t="n">
        <v>2197000</v>
      </c>
      <c r="E45" s="29" t="n">
        <v>869.15</v>
      </c>
      <c r="F45" s="29" t="n">
        <v>869.15</v>
      </c>
      <c r="G45" s="30" t="n">
        <v>2527.58</v>
      </c>
      <c r="H45" s="30" t="n">
        <v>-0.06</v>
      </c>
      <c r="I45" s="30" t="n">
        <v>2663.45</v>
      </c>
      <c r="J45" s="30" t="n"/>
      <c r="K45" s="31">
        <f>IF(AND(B45="SELL",E45&gt;0,J45&lt;&gt;""),J45/E45,0)</f>
        <v/>
      </c>
      <c r="L45" s="31" t="n">
        <v>0</v>
      </c>
      <c r="M45" s="29">
        <f>IF(AND(B45="SELL",L45&gt;0),D45*L45,0)</f>
        <v/>
      </c>
      <c r="N45" s="25" t="n"/>
      <c r="O45" s="32">
        <f>IF(AND(B45="SELL",G45&lt;&gt;0),Q45/ABS(G45),0)</f>
        <v/>
      </c>
      <c r="P45" s="32">
        <f>IF(AND(B45="SELL",D45&gt;0),R45/D45,0)</f>
        <v/>
      </c>
      <c r="Q45" s="33">
        <f>IF(AND(B45="SELL",D45&gt;0,E45&gt;0),(D45/E45)+G45,0)</f>
        <v/>
      </c>
      <c r="R45" s="34">
        <f>IF(B45="SELL",Q45*F45,0)</f>
        <v/>
      </c>
      <c r="S45" s="35">
        <f>S44+R45</f>
        <v/>
      </c>
    </row>
    <row r="46" ht="15.75" customHeight="1" s="94">
      <c r="A46" s="36" t="n">
        <v>45</v>
      </c>
      <c r="B46" s="37" t="inlineStr">
        <is>
          <t>SELL</t>
        </is>
      </c>
      <c r="C46" s="38" t="n">
        <v>46058</v>
      </c>
      <c r="D46" s="39" t="n">
        <v>400000</v>
      </c>
      <c r="E46" s="40" t="n">
        <v>869.15</v>
      </c>
      <c r="F46" s="40" t="n">
        <v>869.15</v>
      </c>
      <c r="G46" s="41" t="n">
        <v>-429.38</v>
      </c>
      <c r="H46" s="41" t="n">
        <v>-0.06</v>
      </c>
      <c r="I46" s="19" t="n">
        <v>2234.01</v>
      </c>
      <c r="J46" s="41" t="n">
        <v>532</v>
      </c>
      <c r="K46" s="42">
        <f>IF(AND(B46="SELL",E46&gt;0,J46&lt;&gt;""),J46/E46,0)</f>
        <v/>
      </c>
      <c r="L46" s="42" t="n">
        <v>0.571</v>
      </c>
      <c r="M46" s="40">
        <f>IF(AND(B46="SELL",L46&gt;0),D46*L46,0)</f>
        <v/>
      </c>
      <c r="N46" s="36" t="n"/>
      <c r="O46" s="43">
        <f>IF(AND(B46="SELL",G46&lt;&gt;0),Q46/ABS(G46),0)</f>
        <v/>
      </c>
      <c r="P46" s="43">
        <f>IF(AND(B46="SELL",D46&gt;0),R46/D46,0)</f>
        <v/>
      </c>
      <c r="Q46" s="44">
        <f>IF(AND(B46="SELL",D46&gt;0,E46&gt;0),(D46/E46)+G46,0)</f>
        <v/>
      </c>
      <c r="R46" s="45">
        <f>IF(B46="SELL",Q46*F46,0)</f>
        <v/>
      </c>
      <c r="S46" s="24">
        <f>S45+R46</f>
        <v/>
      </c>
    </row>
    <row r="47" ht="15.75" customHeight="1" s="94">
      <c r="A47" s="46" t="n">
        <v>46</v>
      </c>
      <c r="B47" s="47" t="inlineStr">
        <is>
          <t>SELL</t>
        </is>
      </c>
      <c r="C47" s="48" t="n">
        <v>46058</v>
      </c>
      <c r="D47" s="49" t="n">
        <v>10000</v>
      </c>
      <c r="E47" s="50" t="n">
        <v>869.15</v>
      </c>
      <c r="F47" s="50" t="n">
        <v>869.15</v>
      </c>
      <c r="G47" s="51" t="n">
        <v>-10.96</v>
      </c>
      <c r="H47" s="51" t="n">
        <v>-0.06</v>
      </c>
      <c r="I47" s="30" t="n">
        <v>2222.99</v>
      </c>
      <c r="J47" s="51" t="n">
        <v>529.05</v>
      </c>
      <c r="K47" s="52">
        <f>IF(AND(B47="SELL",E47&gt;0,J47&lt;&gt;""),J47/E47,0)</f>
        <v/>
      </c>
      <c r="L47" s="52" t="n">
        <v>0.58</v>
      </c>
      <c r="M47" s="50">
        <f>IF(AND(B47="SELL",L47&gt;0),D47*L47,0)</f>
        <v/>
      </c>
      <c r="N47" s="46" t="n"/>
      <c r="O47" s="53">
        <f>IF(AND(B47="SELL",G47&lt;&gt;0),Q47/ABS(G47),0)</f>
        <v/>
      </c>
      <c r="P47" s="53">
        <f>IF(AND(B47="SELL",D47&gt;0),R47/D47,0)</f>
        <v/>
      </c>
      <c r="Q47" s="54">
        <f>IF(AND(B47="SELL",D47&gt;0,E47&gt;0),(D47/E47)+G47,0)</f>
        <v/>
      </c>
      <c r="R47" s="55">
        <f>IF(B47="SELL",Q47*F47,0)</f>
        <v/>
      </c>
      <c r="S47" s="35">
        <f>S46+R47</f>
        <v/>
      </c>
    </row>
    <row r="48" ht="15.75" customHeight="1" s="94">
      <c r="A48" s="36" t="n">
        <v>47</v>
      </c>
      <c r="B48" s="37" t="inlineStr">
        <is>
          <t>SELL</t>
        </is>
      </c>
      <c r="C48" s="38" t="n">
        <v>46058</v>
      </c>
      <c r="D48" s="39" t="n">
        <v>160000</v>
      </c>
      <c r="E48" s="40" t="n">
        <v>869.15</v>
      </c>
      <c r="F48" s="40" t="n">
        <v>869.15</v>
      </c>
      <c r="G48" s="41" t="n">
        <v>-168.48</v>
      </c>
      <c r="H48" s="41" t="n">
        <v>-0.06</v>
      </c>
      <c r="I48" s="19" t="n">
        <v>2054.45</v>
      </c>
      <c r="J48" s="41" t="n">
        <v>538.1</v>
      </c>
      <c r="K48" s="42">
        <f>IF(AND(B48="SELL",E48&gt;0,J48&lt;&gt;""),J48/E48,0)</f>
        <v/>
      </c>
      <c r="L48" s="42" t="n">
        <v>0.57</v>
      </c>
      <c r="M48" s="40">
        <f>IF(AND(B48="SELL",L48&gt;0),D48*L48,0)</f>
        <v/>
      </c>
      <c r="N48" s="36" t="n"/>
      <c r="O48" s="43">
        <f>IF(AND(B48="SELL",G48&lt;&gt;0),Q48/ABS(G48),0)</f>
        <v/>
      </c>
      <c r="P48" s="43">
        <f>IF(AND(B48="SELL",D48&gt;0),R48/D48,0)</f>
        <v/>
      </c>
      <c r="Q48" s="44">
        <f>IF(AND(B48="SELL",D48&gt;0,E48&gt;0),(D48/E48)+G48,0)</f>
        <v/>
      </c>
      <c r="R48" s="45">
        <f>IF(B48="SELL",Q48*F48,0)</f>
        <v/>
      </c>
      <c r="S48" s="24">
        <f>S47+R48</f>
        <v/>
      </c>
    </row>
    <row r="49" ht="15.75" customHeight="1" s="94">
      <c r="A49" s="46" t="n">
        <v>48</v>
      </c>
      <c r="B49" s="47" t="inlineStr">
        <is>
          <t>SELL</t>
        </is>
      </c>
      <c r="C49" s="48" t="n">
        <v>46058</v>
      </c>
      <c r="D49" s="49" t="n">
        <v>30000</v>
      </c>
      <c r="E49" s="50" t="n">
        <v>869.15</v>
      </c>
      <c r="F49" s="50" t="n">
        <v>869.15</v>
      </c>
      <c r="G49" s="51" t="n">
        <v>-31.86</v>
      </c>
      <c r="H49" s="51" t="n">
        <v>-0.06</v>
      </c>
      <c r="I49" s="30" t="n">
        <v>2022.53</v>
      </c>
      <c r="J49" s="51" t="n">
        <v>536.6</v>
      </c>
      <c r="K49" s="52">
        <f>IF(AND(B49="SELL",E49&gt;0,J49&lt;&gt;""),J49/E49,0)</f>
        <v/>
      </c>
      <c r="L49" s="52" t="n">
        <v>0.57</v>
      </c>
      <c r="M49" s="50">
        <f>IF(AND(B49="SELL",L49&gt;0),D49*L49,0)</f>
        <v/>
      </c>
      <c r="N49" s="46" t="n"/>
      <c r="O49" s="53">
        <f>IF(AND(B49="SELL",G49&lt;&gt;0),Q49/ABS(G49),0)</f>
        <v/>
      </c>
      <c r="P49" s="53">
        <f>IF(AND(B49="SELL",D49&gt;0),R49/D49,0)</f>
        <v/>
      </c>
      <c r="Q49" s="54">
        <f>IF(AND(B49="SELL",D49&gt;0,E49&gt;0),(D49/E49)+G49,0)</f>
        <v/>
      </c>
      <c r="R49" s="55">
        <f>IF(B49="SELL",Q49*F49,0)</f>
        <v/>
      </c>
      <c r="S49" s="35">
        <f>S48+R49</f>
        <v/>
      </c>
    </row>
    <row r="50" ht="15.75" customHeight="1" s="94">
      <c r="A50" s="36" t="n">
        <v>49</v>
      </c>
      <c r="B50" s="37" t="inlineStr">
        <is>
          <t>SELL</t>
        </is>
      </c>
      <c r="C50" s="38" t="n">
        <v>46059</v>
      </c>
      <c r="D50" s="39" t="n">
        <v>100000</v>
      </c>
      <c r="E50" s="40" t="n">
        <v>869.15</v>
      </c>
      <c r="F50" s="40" t="n">
        <v>869.15</v>
      </c>
      <c r="G50" s="41" t="n">
        <v>-105.41</v>
      </c>
      <c r="H50" s="41" t="n">
        <v>-0.06</v>
      </c>
      <c r="I50" s="19" t="n">
        <v>1917.06</v>
      </c>
      <c r="J50" s="41" t="n">
        <v>550.231</v>
      </c>
      <c r="K50" s="42">
        <f>IF(AND(B50="SELL",E50&gt;0,J50&lt;&gt;""),J50/E50,0)</f>
        <v/>
      </c>
      <c r="L50" s="42" t="n">
        <v>0.58</v>
      </c>
      <c r="M50" s="40">
        <f>IF(AND(B50="SELL",L50&gt;0),D50*L50,0)</f>
        <v/>
      </c>
      <c r="N50" s="36" t="n"/>
      <c r="O50" s="43">
        <f>IF(AND(B50="SELL",G50&lt;&gt;0),Q50/ABS(G50),0)</f>
        <v/>
      </c>
      <c r="P50" s="43">
        <f>IF(AND(B50="SELL",D50&gt;0),R50/D50,0)</f>
        <v/>
      </c>
      <c r="Q50" s="44">
        <f>IF(AND(B50="SELL",D50&gt;0,E50&gt;0),(D50/E50)+G50,0)</f>
        <v/>
      </c>
      <c r="R50" s="45">
        <f>IF(B50="SELL",Q50*F50,0)</f>
        <v/>
      </c>
      <c r="S50" s="24">
        <f>S49+R50</f>
        <v/>
      </c>
    </row>
    <row r="51" ht="15.75" customHeight="1" s="94">
      <c r="A51" s="46" t="n">
        <v>50</v>
      </c>
      <c r="B51" s="47" t="inlineStr">
        <is>
          <t>SELL</t>
        </is>
      </c>
      <c r="C51" s="48" t="n">
        <v>46059</v>
      </c>
      <c r="D51" s="49" t="n">
        <v>60000</v>
      </c>
      <c r="E51" s="50" t="n">
        <v>869.15</v>
      </c>
      <c r="F51" s="50" t="n">
        <v>869.15</v>
      </c>
      <c r="G51" s="51" t="n">
        <v>-63.08</v>
      </c>
      <c r="H51" s="51" t="n">
        <v>-0.06</v>
      </c>
      <c r="I51" s="30" t="n">
        <v>1853.92</v>
      </c>
      <c r="J51" s="51" t="n">
        <v>551.6</v>
      </c>
      <c r="K51" s="52">
        <f>IF(AND(B51="SELL",E51&gt;0,J51&lt;&gt;""),J51/E51,0)</f>
        <v/>
      </c>
      <c r="L51" s="52" t="n">
        <v>0.58</v>
      </c>
      <c r="M51" s="50">
        <f>IF(AND(B51="SELL",L51&gt;0),D51*L51,0)</f>
        <v/>
      </c>
      <c r="N51" s="46" t="n"/>
      <c r="O51" s="53">
        <f>IF(AND(B51="SELL",G51&lt;&gt;0),Q51/ABS(G51),0)</f>
        <v/>
      </c>
      <c r="P51" s="53">
        <f>IF(AND(B51="SELL",D51&gt;0),R51/D51,0)</f>
        <v/>
      </c>
      <c r="Q51" s="54">
        <f>IF(AND(B51="SELL",D51&gt;0,E51&gt;0),(D51/E51)+G51,0)</f>
        <v/>
      </c>
      <c r="R51" s="55">
        <f>IF(B51="SELL",Q51*F51,0)</f>
        <v/>
      </c>
      <c r="S51" s="35">
        <f>S50+R51</f>
        <v/>
      </c>
    </row>
    <row r="52" ht="15.75" customHeight="1" s="94">
      <c r="A52" s="36" t="n">
        <v>51</v>
      </c>
      <c r="B52" s="37" t="inlineStr">
        <is>
          <t>SELL</t>
        </is>
      </c>
      <c r="C52" s="38" t="n">
        <v>46059</v>
      </c>
      <c r="D52" s="39" t="n">
        <v>288000</v>
      </c>
      <c r="E52" s="40" t="n">
        <v>869.15</v>
      </c>
      <c r="F52" s="40" t="n">
        <v>869.15</v>
      </c>
      <c r="G52" s="41" t="n">
        <v>-304.96</v>
      </c>
      <c r="H52" s="41" t="n">
        <v>-0.06</v>
      </c>
      <c r="I52" s="19" t="n">
        <v>1548.9</v>
      </c>
      <c r="J52" s="41" t="n">
        <v>555.299</v>
      </c>
      <c r="K52" s="42">
        <f>IF(AND(B52="SELL",E52&gt;0,J52&lt;&gt;""),J52/E52,0)</f>
        <v/>
      </c>
      <c r="L52" s="42" t="n">
        <v>0.588</v>
      </c>
      <c r="M52" s="40">
        <f>IF(AND(B52="SELL",L52&gt;0),D52*L52,0)</f>
        <v/>
      </c>
      <c r="N52" s="36" t="n"/>
      <c r="O52" s="43">
        <f>IF(AND(B52="SELL",G52&lt;&gt;0),Q52/ABS(G52),0)</f>
        <v/>
      </c>
      <c r="P52" s="43">
        <f>IF(AND(B52="SELL",D52&gt;0),R52/D52,0)</f>
        <v/>
      </c>
      <c r="Q52" s="44">
        <f>IF(AND(B52="SELL",D52&gt;0,E52&gt;0),(D52/E52)+G52,0)</f>
        <v/>
      </c>
      <c r="R52" s="45">
        <f>IF(B52="SELL",Q52*F52,0)</f>
        <v/>
      </c>
      <c r="S52" s="24">
        <f>S51+R52</f>
        <v/>
      </c>
    </row>
    <row r="53" ht="15.75" customHeight="1" s="94">
      <c r="A53" s="46" t="n">
        <v>52</v>
      </c>
      <c r="B53" s="47" t="inlineStr">
        <is>
          <t>SELL</t>
        </is>
      </c>
      <c r="C53" s="48" t="n">
        <v>46059</v>
      </c>
      <c r="D53" s="49" t="n">
        <v>30000</v>
      </c>
      <c r="E53" s="50" t="n">
        <v>869.15</v>
      </c>
      <c r="F53" s="50" t="n">
        <v>869.15</v>
      </c>
      <c r="G53" s="51" t="n">
        <v>-31.46</v>
      </c>
      <c r="H53" s="51" t="n">
        <v>-0.06</v>
      </c>
      <c r="I53" s="30" t="n">
        <v>1517.38</v>
      </c>
      <c r="J53" s="51" t="n">
        <v>553</v>
      </c>
      <c r="K53" s="52">
        <f>IF(AND(B53="SELL",E53&gt;0,J53&lt;&gt;""),J53/E53,0)</f>
        <v/>
      </c>
      <c r="L53" s="52" t="n">
        <v>0.58</v>
      </c>
      <c r="M53" s="50">
        <f>IF(AND(B53="SELL",L53&gt;0),D53*L53,0)</f>
        <v/>
      </c>
      <c r="N53" s="46" t="n"/>
      <c r="O53" s="53">
        <f>IF(AND(B53="SELL",G53&lt;&gt;0),Q53/ABS(G53),0)</f>
        <v/>
      </c>
      <c r="P53" s="53">
        <f>IF(AND(B53="SELL",D53&gt;0),R53/D53,0)</f>
        <v/>
      </c>
      <c r="Q53" s="54">
        <f>IF(AND(B53="SELL",D53&gt;0,E53&gt;0),(D53/E53)+G53,0)</f>
        <v/>
      </c>
      <c r="R53" s="55">
        <f>IF(B53="SELL",Q53*F53,0)</f>
        <v/>
      </c>
      <c r="S53" s="35">
        <f>S52+R53</f>
        <v/>
      </c>
    </row>
    <row r="54" ht="15.75" customHeight="1" s="94">
      <c r="A54" s="36" t="n">
        <v>53</v>
      </c>
      <c r="B54" s="37" t="inlineStr">
        <is>
          <t>SELL</t>
        </is>
      </c>
      <c r="C54" s="38" t="n">
        <v>46059</v>
      </c>
      <c r="D54" s="39" t="n">
        <v>40000</v>
      </c>
      <c r="E54" s="40" t="n">
        <v>869.15</v>
      </c>
      <c r="F54" s="40" t="n">
        <v>869.15</v>
      </c>
      <c r="G54" s="41" t="n">
        <v>-41.95</v>
      </c>
      <c r="H54" s="41" t="n">
        <v>-0.06</v>
      </c>
      <c r="I54" s="19" t="n">
        <v>1475.37</v>
      </c>
      <c r="J54" s="41" t="n">
        <v>553.0069999999999</v>
      </c>
      <c r="K54" s="42">
        <f>IF(AND(B54="SELL",E54&gt;0,J54&lt;&gt;""),J54/E54,0)</f>
        <v/>
      </c>
      <c r="L54" s="42" t="n">
        <v>0.58</v>
      </c>
      <c r="M54" s="40">
        <f>IF(AND(B54="SELL",L54&gt;0),D54*L54,0)</f>
        <v/>
      </c>
      <c r="N54" s="36" t="n"/>
      <c r="O54" s="43">
        <f>IF(AND(B54="SELL",G54&lt;&gt;0),Q54/ABS(G54),0)</f>
        <v/>
      </c>
      <c r="P54" s="43">
        <f>IF(AND(B54="SELL",D54&gt;0),R54/D54,0)</f>
        <v/>
      </c>
      <c r="Q54" s="44">
        <f>IF(AND(B54="SELL",D54&gt;0,E54&gt;0),(D54/E54)+G54,0)</f>
        <v/>
      </c>
      <c r="R54" s="45">
        <f>IF(B54="SELL",Q54*F54,0)</f>
        <v/>
      </c>
      <c r="S54" s="24">
        <f>S53+R54</f>
        <v/>
      </c>
    </row>
    <row r="55" ht="15.75" customHeight="1" s="94">
      <c r="A55" s="46" t="n">
        <v>54</v>
      </c>
      <c r="B55" s="47" t="inlineStr">
        <is>
          <t>SELL</t>
        </is>
      </c>
      <c r="C55" s="48" t="n">
        <v>46059</v>
      </c>
      <c r="D55" s="49" t="n">
        <v>206000</v>
      </c>
      <c r="E55" s="50" t="n">
        <v>869.15</v>
      </c>
      <c r="F55" s="50" t="n">
        <v>869.15</v>
      </c>
      <c r="G55" s="51" t="n">
        <v>-221.8</v>
      </c>
      <c r="H55" s="51" t="n">
        <v>-0.06</v>
      </c>
      <c r="I55" s="30" t="n">
        <v>1253.51</v>
      </c>
      <c r="J55" s="51" t="n">
        <v>546.111</v>
      </c>
      <c r="K55" s="52">
        <f>IF(AND(B55="SELL",E55&gt;0,J55&lt;&gt;""),J55/E55,0)</f>
        <v/>
      </c>
      <c r="L55" s="52" t="n">
        <v>0.588</v>
      </c>
      <c r="M55" s="50">
        <f>IF(AND(B55="SELL",L55&gt;0),D55*L55,0)</f>
        <v/>
      </c>
      <c r="N55" s="46" t="n"/>
      <c r="O55" s="53">
        <f>IF(AND(B55="SELL",G55&lt;&gt;0),Q55/ABS(G55),0)</f>
        <v/>
      </c>
      <c r="P55" s="53">
        <f>IF(AND(B55="SELL",D55&gt;0),R55/D55,0)</f>
        <v/>
      </c>
      <c r="Q55" s="54">
        <f>IF(AND(B55="SELL",D55&gt;0,E55&gt;0),(D55/E55)+G55,0)</f>
        <v/>
      </c>
      <c r="R55" s="55">
        <f>IF(B55="SELL",Q55*F55,0)</f>
        <v/>
      </c>
      <c r="S55" s="35">
        <f>S54+R55</f>
        <v/>
      </c>
    </row>
    <row r="56" ht="15.75" customHeight="1" s="94">
      <c r="A56" s="36" t="n">
        <v>55</v>
      </c>
      <c r="B56" s="37" t="inlineStr">
        <is>
          <t>SELL</t>
        </is>
      </c>
      <c r="C56" s="38" t="n">
        <v>46059</v>
      </c>
      <c r="D56" s="39" t="n">
        <v>25000</v>
      </c>
      <c r="E56" s="40" t="n">
        <v>869.15</v>
      </c>
      <c r="F56" s="40" t="n">
        <v>869.15</v>
      </c>
      <c r="G56" s="41" t="n">
        <v>-26.69</v>
      </c>
      <c r="H56" s="41" t="n">
        <v>-0.06</v>
      </c>
      <c r="I56" s="19" t="n">
        <v>1226.76</v>
      </c>
      <c r="J56" s="41" t="n">
        <v>543.1</v>
      </c>
      <c r="K56" s="42">
        <f>IF(AND(B56="SELL",E56&gt;0,J56&lt;&gt;""),J56/E56,0)</f>
        <v/>
      </c>
      <c r="L56" s="42" t="n">
        <v>0.58</v>
      </c>
      <c r="M56" s="40">
        <f>IF(AND(B56="SELL",L56&gt;0),D56*L56,0)</f>
        <v/>
      </c>
      <c r="N56" s="36" t="n"/>
      <c r="O56" s="43">
        <f>IF(AND(B56="SELL",G56&lt;&gt;0),Q56/ABS(G56),0)</f>
        <v/>
      </c>
      <c r="P56" s="43">
        <f>IF(AND(B56="SELL",D56&gt;0),R56/D56,0)</f>
        <v/>
      </c>
      <c r="Q56" s="44">
        <f>IF(AND(B56="SELL",D56&gt;0,E56&gt;0),(D56/E56)+G56,0)</f>
        <v/>
      </c>
      <c r="R56" s="45">
        <f>IF(B56="SELL",Q56*F56,0)</f>
        <v/>
      </c>
      <c r="S56" s="24">
        <f>S55+R56</f>
        <v/>
      </c>
    </row>
    <row r="57" ht="15.75" customHeight="1" s="94">
      <c r="A57" s="46" t="n">
        <v>56</v>
      </c>
      <c r="B57" s="47" t="inlineStr">
        <is>
          <t>SELL</t>
        </is>
      </c>
      <c r="C57" s="48" t="n">
        <v>46060</v>
      </c>
      <c r="D57" s="49" t="n">
        <v>10000</v>
      </c>
      <c r="E57" s="50" t="n">
        <v>869.15</v>
      </c>
      <c r="F57" s="50" t="n">
        <v>869.15</v>
      </c>
      <c r="G57" s="51" t="n">
        <v>-10.93</v>
      </c>
      <c r="H57" s="51" t="n">
        <v>-0.06</v>
      </c>
      <c r="I57" s="30" t="n">
        <v>1215.77</v>
      </c>
      <c r="J57" s="51" t="n">
        <v>542.12</v>
      </c>
      <c r="K57" s="52">
        <f>IF(AND(B57="SELL",E57&gt;0,J57&lt;&gt;""),J57/E57,0)</f>
        <v/>
      </c>
      <c r="L57" s="52" t="n">
        <v>0.593</v>
      </c>
      <c r="M57" s="50">
        <f>IF(AND(B57="SELL",L57&gt;0),D57*L57,0)</f>
        <v/>
      </c>
      <c r="N57" s="46" t="n"/>
      <c r="O57" s="53">
        <f>IF(AND(B57="SELL",G57&lt;&gt;0),Q57/ABS(G57),0)</f>
        <v/>
      </c>
      <c r="P57" s="53">
        <f>IF(AND(B57="SELL",D57&gt;0),R57/D57,0)</f>
        <v/>
      </c>
      <c r="Q57" s="54">
        <f>IF(AND(B57="SELL",D57&gt;0,E57&gt;0),(D57/E57)+G57,0)</f>
        <v/>
      </c>
      <c r="R57" s="55">
        <f>IF(B57="SELL",Q57*F57,0)</f>
        <v/>
      </c>
      <c r="S57" s="35">
        <f>S56+R57</f>
        <v/>
      </c>
    </row>
    <row r="58" ht="15.75" customHeight="1" s="94">
      <c r="A58" s="36" t="n">
        <v>57</v>
      </c>
      <c r="B58" s="37" t="inlineStr">
        <is>
          <t>SELL</t>
        </is>
      </c>
      <c r="C58" s="38" t="n">
        <v>46060</v>
      </c>
      <c r="D58" s="39" t="n">
        <v>10000</v>
      </c>
      <c r="E58" s="40" t="n">
        <v>869.15</v>
      </c>
      <c r="F58" s="40" t="n">
        <v>869.15</v>
      </c>
      <c r="G58" s="41" t="n">
        <v>-10.92</v>
      </c>
      <c r="H58" s="41" t="n">
        <v>-0.06</v>
      </c>
      <c r="I58" s="19" t="n">
        <v>1204.79</v>
      </c>
      <c r="J58" s="41" t="n">
        <v>542.8</v>
      </c>
      <c r="K58" s="42">
        <f>IF(AND(B58="SELL",E58&gt;0,J58&lt;&gt;""),J58/E58,0)</f>
        <v/>
      </c>
      <c r="L58" s="42" t="n">
        <v>0.593</v>
      </c>
      <c r="M58" s="40">
        <f>IF(AND(B58="SELL",L58&gt;0),D58*L58,0)</f>
        <v/>
      </c>
      <c r="N58" s="36" t="n"/>
      <c r="O58" s="43">
        <f>IF(AND(B58="SELL",G58&lt;&gt;0),Q58/ABS(G58),0)</f>
        <v/>
      </c>
      <c r="P58" s="43">
        <f>IF(AND(B58="SELL",D58&gt;0),R58/D58,0)</f>
        <v/>
      </c>
      <c r="Q58" s="44">
        <f>IF(AND(B58="SELL",D58&gt;0,E58&gt;0),(D58/E58)+G58,0)</f>
        <v/>
      </c>
      <c r="R58" s="45">
        <f>IF(B58="SELL",Q58*F58,0)</f>
        <v/>
      </c>
      <c r="S58" s="24">
        <f>S57+R58</f>
        <v/>
      </c>
    </row>
    <row r="59" ht="15.75" customHeight="1" s="94">
      <c r="A59" s="46" t="n">
        <v>58</v>
      </c>
      <c r="B59" s="47" t="inlineStr">
        <is>
          <t>SELL</t>
        </is>
      </c>
      <c r="C59" s="48" t="n">
        <v>46060</v>
      </c>
      <c r="D59" s="49" t="n">
        <v>200000</v>
      </c>
      <c r="E59" s="50" t="n">
        <v>869.15</v>
      </c>
      <c r="F59" s="50" t="n">
        <v>869.15</v>
      </c>
      <c r="G59" s="51" t="n">
        <v>-220.73</v>
      </c>
      <c r="H59" s="51" t="n">
        <v>-0.06</v>
      </c>
      <c r="I59" s="30" t="n">
        <v>984.000000000002</v>
      </c>
      <c r="J59" s="51" t="n">
        <v>538.2</v>
      </c>
      <c r="K59" s="52">
        <f>IF(AND(B59="SELL",E59&gt;0,J59&lt;&gt;""),J59/E59,0)</f>
        <v/>
      </c>
      <c r="L59" s="52" t="n">
        <v>0.594</v>
      </c>
      <c r="M59" s="50">
        <f>IF(AND(B59="SELL",L59&gt;0),D59*L59,0)</f>
        <v/>
      </c>
      <c r="N59" s="46" t="n"/>
      <c r="O59" s="53">
        <f>IF(AND(B59="SELL",G59&lt;&gt;0),Q59/ABS(G59),0)</f>
        <v/>
      </c>
      <c r="P59" s="53">
        <f>IF(AND(B59="SELL",D59&gt;0),R59/D59,0)</f>
        <v/>
      </c>
      <c r="Q59" s="54">
        <f>IF(AND(B59="SELL",D59&gt;0,E59&gt;0),(D59/E59)+G59,0)</f>
        <v/>
      </c>
      <c r="R59" s="55">
        <f>IF(B59="SELL",Q59*F59,0)</f>
        <v/>
      </c>
      <c r="S59" s="35">
        <f>S58+R59</f>
        <v/>
      </c>
    </row>
    <row r="60" ht="15.75" customHeight="1" s="94">
      <c r="A60" s="36" t="n">
        <v>59</v>
      </c>
      <c r="B60" s="37" t="inlineStr">
        <is>
          <t>SELL</t>
        </is>
      </c>
      <c r="C60" s="38" t="n">
        <v>46060</v>
      </c>
      <c r="D60" s="39" t="n">
        <v>20000</v>
      </c>
      <c r="E60" s="40" t="n">
        <v>869.15</v>
      </c>
      <c r="F60" s="40" t="n">
        <v>869.15</v>
      </c>
      <c r="G60" s="41" t="n">
        <v>-22.04</v>
      </c>
      <c r="H60" s="41" t="n">
        <v>-0.06</v>
      </c>
      <c r="I60" s="19" t="n">
        <v>961.900000000002</v>
      </c>
      <c r="J60" s="41" t="n">
        <v>538.001</v>
      </c>
      <c r="K60" s="42">
        <f>IF(AND(B60="SELL",E60&gt;0,J60&lt;&gt;""),J60/E60,0)</f>
        <v/>
      </c>
      <c r="L60" s="42" t="n">
        <v>0.593</v>
      </c>
      <c r="M60" s="40">
        <f>IF(AND(B60="SELL",L60&gt;0),D60*L60,0)</f>
        <v/>
      </c>
      <c r="N60" s="36" t="n"/>
      <c r="O60" s="43">
        <f>IF(AND(B60="SELL",G60&lt;&gt;0),Q60/ABS(G60),0)</f>
        <v/>
      </c>
      <c r="P60" s="43">
        <f>IF(AND(B60="SELL",D60&gt;0),R60/D60,0)</f>
        <v/>
      </c>
      <c r="Q60" s="44">
        <f>IF(AND(B60="SELL",D60&gt;0,E60&gt;0),(D60/E60)+G60,0)</f>
        <v/>
      </c>
      <c r="R60" s="45">
        <f>IF(B60="SELL",Q60*F60,0)</f>
        <v/>
      </c>
      <c r="S60" s="24">
        <f>S59+R60</f>
        <v/>
      </c>
    </row>
    <row r="61" ht="15.75" customHeight="1" s="94">
      <c r="A61" s="46" t="n">
        <v>60</v>
      </c>
      <c r="B61" s="47" t="inlineStr">
        <is>
          <t>SELL</t>
        </is>
      </c>
      <c r="C61" s="48" t="n">
        <v>46060</v>
      </c>
      <c r="D61" s="49" t="n">
        <v>10000</v>
      </c>
      <c r="E61" s="50" t="n">
        <v>869.15</v>
      </c>
      <c r="F61" s="50" t="n">
        <v>869.15</v>
      </c>
      <c r="G61" s="51" t="n">
        <v>-11.14</v>
      </c>
      <c r="H61" s="51" t="n">
        <v>-0.06</v>
      </c>
      <c r="I61" s="30" t="n">
        <v>950.700000000002</v>
      </c>
      <c r="J61" s="51" t="n">
        <v>532.01</v>
      </c>
      <c r="K61" s="52">
        <f>IF(AND(B61="SELL",E61&gt;0,J61&lt;&gt;""),J61/E61,0)</f>
        <v/>
      </c>
      <c r="L61" s="52" t="n">
        <v>0.593</v>
      </c>
      <c r="M61" s="50">
        <f>IF(AND(B61="SELL",L61&gt;0),D61*L61,0)</f>
        <v/>
      </c>
      <c r="N61" s="46" t="n"/>
      <c r="O61" s="53">
        <f>IF(AND(B61="SELL",G61&lt;&gt;0),Q61/ABS(G61),0)</f>
        <v/>
      </c>
      <c r="P61" s="53">
        <f>IF(AND(B61="SELL",D61&gt;0),R61/D61,0)</f>
        <v/>
      </c>
      <c r="Q61" s="54">
        <f>IF(AND(B61="SELL",D61&gt;0,E61&gt;0),(D61/E61)+G61,0)</f>
        <v/>
      </c>
      <c r="R61" s="55">
        <f>IF(B61="SELL",Q61*F61,0)</f>
        <v/>
      </c>
      <c r="S61" s="35">
        <f>S60+R61</f>
        <v/>
      </c>
    </row>
    <row r="62" ht="15.75" customHeight="1" s="94">
      <c r="A62" s="36" t="n">
        <v>61</v>
      </c>
      <c r="B62" s="37" t="inlineStr">
        <is>
          <t>SELL</t>
        </is>
      </c>
      <c r="C62" s="38" t="n">
        <v>46061</v>
      </c>
      <c r="D62" s="39" t="n">
        <v>10000</v>
      </c>
      <c r="E62" s="40" t="n">
        <v>869.15</v>
      </c>
      <c r="F62" s="40" t="n">
        <v>869.15</v>
      </c>
      <c r="G62" s="41" t="n">
        <v>-10.65</v>
      </c>
      <c r="H62" s="41" t="n">
        <v>-0.06</v>
      </c>
      <c r="I62" s="19" t="n">
        <v>939.9900000000021</v>
      </c>
      <c r="J62" s="41" t="n">
        <v>533.2</v>
      </c>
      <c r="K62" s="42">
        <f>IF(AND(B62="SELL",E62&gt;0,J62&lt;&gt;""),J62/E62,0)</f>
        <v/>
      </c>
      <c r="L62" s="42" t="n">
        <v>0.5679999999999999</v>
      </c>
      <c r="M62" s="40">
        <f>IF(AND(B62="SELL",L62&gt;0),D62*L62,0)</f>
        <v/>
      </c>
      <c r="N62" s="36" t="n"/>
      <c r="O62" s="43">
        <f>IF(AND(B62="SELL",G62&lt;&gt;0),Q62/ABS(G62),0)</f>
        <v/>
      </c>
      <c r="P62" s="43">
        <f>IF(AND(B62="SELL",D62&gt;0),R62/D62,0)</f>
        <v/>
      </c>
      <c r="Q62" s="44">
        <f>IF(AND(B62="SELL",D62&gt;0,E62&gt;0),(D62/E62)+G62,0)</f>
        <v/>
      </c>
      <c r="R62" s="45">
        <f>IF(B62="SELL",Q62*F62,0)</f>
        <v/>
      </c>
      <c r="S62" s="24">
        <f>S61+R62</f>
        <v/>
      </c>
    </row>
    <row r="63" ht="15.75" customHeight="1" s="94">
      <c r="A63" s="46" t="n">
        <v>62</v>
      </c>
      <c r="B63" s="47" t="inlineStr">
        <is>
          <t>SELL</t>
        </is>
      </c>
      <c r="C63" s="48" t="n">
        <v>46061</v>
      </c>
      <c r="D63" s="49" t="n">
        <v>150000</v>
      </c>
      <c r="E63" s="50" t="n">
        <v>869.15</v>
      </c>
      <c r="F63" s="50" t="n">
        <v>869.15</v>
      </c>
      <c r="G63" s="51" t="n">
        <v>-159.4</v>
      </c>
      <c r="H63" s="51" t="n">
        <v>-0.06</v>
      </c>
      <c r="I63" s="30" t="n">
        <v>780.530000000002</v>
      </c>
      <c r="J63" s="51" t="n">
        <v>534.5</v>
      </c>
      <c r="K63" s="52">
        <f>IF(AND(B63="SELL",E63&gt;0,J63&lt;&gt;""),J63/E63,0)</f>
        <v/>
      </c>
      <c r="L63" s="52" t="n">
        <v>0.5679999999999999</v>
      </c>
      <c r="M63" s="50">
        <f>IF(AND(B63="SELL",L63&gt;0),D63*L63,0)</f>
        <v/>
      </c>
      <c r="N63" s="46" t="n"/>
      <c r="O63" s="53">
        <f>IF(AND(B63="SELL",G63&lt;&gt;0),Q63/ABS(G63),0)</f>
        <v/>
      </c>
      <c r="P63" s="53">
        <f>IF(AND(B63="SELL",D63&gt;0),R63/D63,0)</f>
        <v/>
      </c>
      <c r="Q63" s="54">
        <f>IF(AND(B63="SELL",D63&gt;0,E63&gt;0),(D63/E63)+G63,0)</f>
        <v/>
      </c>
      <c r="R63" s="55">
        <f>IF(B63="SELL",Q63*F63,0)</f>
        <v/>
      </c>
      <c r="S63" s="35">
        <f>S62+R63</f>
        <v/>
      </c>
    </row>
    <row r="64" ht="15.75" customHeight="1" s="94">
      <c r="A64" s="36" t="n">
        <v>63</v>
      </c>
      <c r="B64" s="37" t="inlineStr">
        <is>
          <t>SELL</t>
        </is>
      </c>
      <c r="C64" s="38" t="n">
        <v>46061</v>
      </c>
      <c r="D64" s="39" t="n">
        <v>170000</v>
      </c>
      <c r="E64" s="40" t="n">
        <v>869.15</v>
      </c>
      <c r="F64" s="40" t="n">
        <v>869.15</v>
      </c>
      <c r="G64" s="41" t="n">
        <v>-180.78</v>
      </c>
      <c r="H64" s="41" t="n">
        <v>-0.06</v>
      </c>
      <c r="I64" s="19" t="n">
        <v>599.690000000002</v>
      </c>
      <c r="J64" s="41" t="n">
        <v>534.105</v>
      </c>
      <c r="K64" s="42">
        <f>IF(AND(B64="SELL",E64&gt;0,J64&lt;&gt;""),J64/E64,0)</f>
        <v/>
      </c>
      <c r="L64" s="42" t="n">
        <v>0.5679999999999999</v>
      </c>
      <c r="M64" s="40">
        <f>IF(AND(B64="SELL",L64&gt;0),D64*L64,0)</f>
        <v/>
      </c>
      <c r="N64" s="36" t="n"/>
      <c r="O64" s="43">
        <f>IF(AND(B64="SELL",G64&lt;&gt;0),Q64/ABS(G64),0)</f>
        <v/>
      </c>
      <c r="P64" s="43">
        <f>IF(AND(B64="SELL",D64&gt;0),R64/D64,0)</f>
        <v/>
      </c>
      <c r="Q64" s="44">
        <f>IF(AND(B64="SELL",D64&gt;0,E64&gt;0),(D64/E64)+G64,0)</f>
        <v/>
      </c>
      <c r="R64" s="45">
        <f>IF(B64="SELL",Q64*F64,0)</f>
        <v/>
      </c>
      <c r="S64" s="24">
        <f>S63+R64</f>
        <v/>
      </c>
    </row>
    <row r="65" ht="15.75" customHeight="1" s="94">
      <c r="A65" s="46" t="n">
        <v>64</v>
      </c>
      <c r="B65" s="47" t="inlineStr">
        <is>
          <t>SELL</t>
        </is>
      </c>
      <c r="C65" s="48" t="n">
        <v>46062</v>
      </c>
      <c r="D65" s="49" t="n">
        <v>17000</v>
      </c>
      <c r="E65" s="50" t="n">
        <v>869.15</v>
      </c>
      <c r="F65" s="50" t="n">
        <v>869.15</v>
      </c>
      <c r="G65" s="51" t="n">
        <v>-18.6</v>
      </c>
      <c r="H65" s="51" t="n">
        <v>-0.06</v>
      </c>
      <c r="I65" s="30" t="n">
        <v>581.030000000002</v>
      </c>
      <c r="J65" s="51" t="n">
        <v>530</v>
      </c>
      <c r="K65" s="52">
        <f>IF(AND(B65="SELL",E65&gt;0,J65&lt;&gt;""),J65/E65,0)</f>
        <v/>
      </c>
      <c r="L65" s="52" t="n">
        <v>0.58</v>
      </c>
      <c r="M65" s="50">
        <f>IF(AND(B65="SELL",L65&gt;0),D65*L65,0)</f>
        <v/>
      </c>
      <c r="N65" s="46" t="n"/>
      <c r="O65" s="53">
        <f>IF(AND(B65="SELL",G65&lt;&gt;0),Q65/ABS(G65),0)</f>
        <v/>
      </c>
      <c r="P65" s="53">
        <f>IF(AND(B65="SELL",D65&gt;0),R65/D65,0)</f>
        <v/>
      </c>
      <c r="Q65" s="54">
        <f>IF(AND(B65="SELL",D65&gt;0,E65&gt;0),(D65/E65)+G65,0)</f>
        <v/>
      </c>
      <c r="R65" s="55">
        <f>IF(B65="SELL",Q65*F65,0)</f>
        <v/>
      </c>
      <c r="S65" s="35">
        <f>S64+R65</f>
        <v/>
      </c>
    </row>
    <row r="66" ht="15.75" customHeight="1" s="94">
      <c r="A66" s="36" t="n">
        <v>65</v>
      </c>
      <c r="B66" s="37" t="inlineStr">
        <is>
          <t>SELL</t>
        </is>
      </c>
      <c r="C66" s="38" t="n">
        <v>46062</v>
      </c>
      <c r="D66" s="39" t="n">
        <v>38000</v>
      </c>
      <c r="E66" s="40" t="n">
        <v>869.15</v>
      </c>
      <c r="F66" s="40" t="n">
        <v>869.15</v>
      </c>
      <c r="G66" s="41" t="n">
        <v>-40.75</v>
      </c>
      <c r="H66" s="41" t="n">
        <v>-0.06</v>
      </c>
      <c r="I66" s="19" t="n">
        <v>540.220000000002</v>
      </c>
      <c r="J66" s="41" t="n">
        <v>540.8</v>
      </c>
      <c r="K66" s="42">
        <f>IF(AND(B66="SELL",E66&gt;0,J66&lt;&gt;""),J66/E66,0)</f>
        <v/>
      </c>
      <c r="L66" s="42" t="n">
        <v>0.58</v>
      </c>
      <c r="M66" s="40">
        <f>IF(AND(B66="SELL",L66&gt;0),D66*L66,0)</f>
        <v/>
      </c>
      <c r="N66" s="36" t="n"/>
      <c r="O66" s="43">
        <f>IF(AND(B66="SELL",G66&lt;&gt;0),Q66/ABS(G66),0)</f>
        <v/>
      </c>
      <c r="P66" s="43">
        <f>IF(AND(B66="SELL",D66&gt;0),R66/D66,0)</f>
        <v/>
      </c>
      <c r="Q66" s="44">
        <f>IF(AND(B66="SELL",D66&gt;0,E66&gt;0),(D66/E66)+G66,0)</f>
        <v/>
      </c>
      <c r="R66" s="45">
        <f>IF(B66="SELL",Q66*F66,0)</f>
        <v/>
      </c>
      <c r="S66" s="24">
        <f>S65+R66</f>
        <v/>
      </c>
    </row>
    <row r="67" ht="15.75" customHeight="1" s="94">
      <c r="A67" s="46" t="n">
        <v>66</v>
      </c>
      <c r="B67" s="47" t="inlineStr">
        <is>
          <t>SELL</t>
        </is>
      </c>
      <c r="C67" s="48" t="n">
        <v>46062</v>
      </c>
      <c r="D67" s="49" t="n">
        <v>10000</v>
      </c>
      <c r="E67" s="50" t="n">
        <v>869.15</v>
      </c>
      <c r="F67" s="50" t="n">
        <v>869.15</v>
      </c>
      <c r="G67" s="51" t="n">
        <v>-10.76</v>
      </c>
      <c r="H67" s="51" t="n">
        <v>-0.06</v>
      </c>
      <c r="I67" s="30" t="n">
        <v>529.400000000002</v>
      </c>
      <c r="J67" s="51" t="n">
        <v>538.9</v>
      </c>
      <c r="K67" s="52">
        <f>IF(AND(B67="SELL",E67&gt;0,J67&lt;&gt;""),J67/E67,0)</f>
        <v/>
      </c>
      <c r="L67" s="52" t="n">
        <v>0.58</v>
      </c>
      <c r="M67" s="50">
        <f>IF(AND(B67="SELL",L67&gt;0),D67*L67,0)</f>
        <v/>
      </c>
      <c r="N67" s="46" t="n"/>
      <c r="O67" s="53">
        <f>IF(AND(B67="SELL",G67&lt;&gt;0),Q67/ABS(G67),0)</f>
        <v/>
      </c>
      <c r="P67" s="53">
        <f>IF(AND(B67="SELL",D67&gt;0),R67/D67,0)</f>
        <v/>
      </c>
      <c r="Q67" s="54">
        <f>IF(AND(B67="SELL",D67&gt;0,E67&gt;0),(D67/E67)+G67,0)</f>
        <v/>
      </c>
      <c r="R67" s="55">
        <f>IF(B67="SELL",Q67*F67,0)</f>
        <v/>
      </c>
      <c r="S67" s="35">
        <f>S66+R67</f>
        <v/>
      </c>
    </row>
    <row r="68" ht="15.75" customHeight="1" s="94">
      <c r="A68" s="36" t="n">
        <v>67</v>
      </c>
      <c r="B68" s="37" t="inlineStr">
        <is>
          <t>SELL</t>
        </is>
      </c>
      <c r="C68" s="38" t="n">
        <v>46062</v>
      </c>
      <c r="D68" s="39" t="n">
        <v>20000</v>
      </c>
      <c r="E68" s="40" t="n">
        <v>869.15</v>
      </c>
      <c r="F68" s="40" t="n">
        <v>869.15</v>
      </c>
      <c r="G68" s="41" t="n">
        <v>-21.48</v>
      </c>
      <c r="H68" s="41" t="n">
        <v>-0.06</v>
      </c>
      <c r="I68" s="19" t="n">
        <v>507.860000000002</v>
      </c>
      <c r="J68" s="41" t="n">
        <v>540.003</v>
      </c>
      <c r="K68" s="42">
        <f>IF(AND(B68="SELL",E68&gt;0,J68&lt;&gt;""),J68/E68,0)</f>
        <v/>
      </c>
      <c r="L68" s="42" t="n">
        <v>0.58</v>
      </c>
      <c r="M68" s="40">
        <f>IF(AND(B68="SELL",L68&gt;0),D68*L68,0)</f>
        <v/>
      </c>
      <c r="N68" s="36" t="n"/>
      <c r="O68" s="43">
        <f>IF(AND(B68="SELL",G68&lt;&gt;0),Q68/ABS(G68),0)</f>
        <v/>
      </c>
      <c r="P68" s="43">
        <f>IF(AND(B68="SELL",D68&gt;0),R68/D68,0)</f>
        <v/>
      </c>
      <c r="Q68" s="44">
        <f>IF(AND(B68="SELL",D68&gt;0,E68&gt;0),(D68/E68)+G68,0)</f>
        <v/>
      </c>
      <c r="R68" s="45">
        <f>IF(B68="SELL",Q68*F68,0)</f>
        <v/>
      </c>
      <c r="S68" s="24">
        <f>S67+R68</f>
        <v/>
      </c>
    </row>
    <row r="69" ht="15.75" customHeight="1" s="94">
      <c r="A69" s="46" t="n">
        <v>68</v>
      </c>
      <c r="B69" s="47" t="inlineStr">
        <is>
          <t>SELL</t>
        </is>
      </c>
      <c r="C69" s="48" t="n">
        <v>46062</v>
      </c>
      <c r="D69" s="49" t="n">
        <v>20000</v>
      </c>
      <c r="E69" s="50" t="n">
        <v>869.15</v>
      </c>
      <c r="F69" s="50" t="n">
        <v>869.15</v>
      </c>
      <c r="G69" s="51" t="n">
        <v>-21.45</v>
      </c>
      <c r="H69" s="51" t="n">
        <v>-0.06</v>
      </c>
      <c r="I69" s="30" t="n">
        <v>486.350000000002</v>
      </c>
      <c r="J69" s="51" t="n">
        <v>540.6</v>
      </c>
      <c r="K69" s="52">
        <f>IF(AND(B69="SELL",E69&gt;0,J69&lt;&gt;""),J69/E69,0)</f>
        <v/>
      </c>
      <c r="L69" s="52" t="n">
        <v>0.58</v>
      </c>
      <c r="M69" s="50">
        <f>IF(AND(B69="SELL",L69&gt;0),D69*L69,0)</f>
        <v/>
      </c>
      <c r="N69" s="46" t="n"/>
      <c r="O69" s="53">
        <f>IF(AND(B69="SELL",G69&lt;&gt;0),Q69/ABS(G69),0)</f>
        <v/>
      </c>
      <c r="P69" s="53">
        <f>IF(AND(B69="SELL",D69&gt;0),R69/D69,0)</f>
        <v/>
      </c>
      <c r="Q69" s="54">
        <f>IF(AND(B69="SELL",D69&gt;0,E69&gt;0),(D69/E69)+G69,0)</f>
        <v/>
      </c>
      <c r="R69" s="55">
        <f>IF(B69="SELL",Q69*F69,0)</f>
        <v/>
      </c>
      <c r="S69" s="35">
        <f>S68+R69</f>
        <v/>
      </c>
    </row>
    <row r="70" ht="15.75" customHeight="1" s="94">
      <c r="A70" s="36" t="n">
        <v>69</v>
      </c>
      <c r="B70" s="37" t="inlineStr">
        <is>
          <t>SELL</t>
        </is>
      </c>
      <c r="C70" s="38" t="n">
        <v>46063</v>
      </c>
      <c r="D70" s="39" t="n">
        <v>20000</v>
      </c>
      <c r="E70" s="40" t="n">
        <v>869.15</v>
      </c>
      <c r="F70" s="40" t="n">
        <v>869.15</v>
      </c>
      <c r="G70" s="41" t="n">
        <v>-21.87</v>
      </c>
      <c r="H70" s="41" t="n">
        <v>-0.06</v>
      </c>
      <c r="I70" s="19" t="n">
        <v>464.420000000002</v>
      </c>
      <c r="J70" s="41" t="n">
        <v>539.311</v>
      </c>
      <c r="K70" s="42">
        <f>IF(AND(B70="SELL",E70&gt;0,J70&lt;&gt;""),J70/E70,0)</f>
        <v/>
      </c>
      <c r="L70" s="42" t="n">
        <v>0.59</v>
      </c>
      <c r="M70" s="40">
        <f>IF(AND(B70="SELL",L70&gt;0),D70*L70,0)</f>
        <v/>
      </c>
      <c r="N70" s="36" t="n"/>
      <c r="O70" s="43">
        <f>IF(AND(B70="SELL",G70&lt;&gt;0),Q70/ABS(G70),0)</f>
        <v/>
      </c>
      <c r="P70" s="43">
        <f>IF(AND(B70="SELL",D70&gt;0),R70/D70,0)</f>
        <v/>
      </c>
      <c r="Q70" s="44">
        <f>IF(AND(B70="SELL",D70&gt;0,E70&gt;0),(D70/E70)+G70,0)</f>
        <v/>
      </c>
      <c r="R70" s="45">
        <f>IF(B70="SELL",Q70*F70,0)</f>
        <v/>
      </c>
      <c r="S70" s="24">
        <f>S69+R70</f>
        <v/>
      </c>
    </row>
    <row r="71" ht="15.75" customHeight="1" s="94">
      <c r="A71" s="46" t="n">
        <v>70</v>
      </c>
      <c r="B71" s="47" t="inlineStr">
        <is>
          <t>SELL</t>
        </is>
      </c>
      <c r="C71" s="48" t="n">
        <v>46063</v>
      </c>
      <c r="D71" s="49" t="n">
        <v>15000</v>
      </c>
      <c r="E71" s="50" t="n">
        <v>869.15</v>
      </c>
      <c r="F71" s="50" t="n">
        <v>869.15</v>
      </c>
      <c r="G71" s="51" t="n">
        <v>-16.44</v>
      </c>
      <c r="H71" s="51" t="n">
        <v>-0.06</v>
      </c>
      <c r="I71" s="30" t="n">
        <v>447.920000000002</v>
      </c>
      <c r="J71" s="51" t="n">
        <v>538.015</v>
      </c>
      <c r="K71" s="52">
        <f>IF(AND(B71="SELL",E71&gt;0,J71&lt;&gt;""),J71/E71,0)</f>
        <v/>
      </c>
      <c r="L71" s="52" t="n">
        <v>0.59</v>
      </c>
      <c r="M71" s="50">
        <f>IF(AND(B71="SELL",L71&gt;0),D71*L71,0)</f>
        <v/>
      </c>
      <c r="N71" s="46" t="n"/>
      <c r="O71" s="53">
        <f>IF(AND(B71="SELL",G71&lt;&gt;0),Q71/ABS(G71),0)</f>
        <v/>
      </c>
      <c r="P71" s="53">
        <f>IF(AND(B71="SELL",D71&gt;0),R71/D71,0)</f>
        <v/>
      </c>
      <c r="Q71" s="54">
        <f>IF(AND(B71="SELL",D71&gt;0,E71&gt;0),(D71/E71)+G71,0)</f>
        <v/>
      </c>
      <c r="R71" s="55">
        <f>IF(B71="SELL",Q71*F71,0)</f>
        <v/>
      </c>
      <c r="S71" s="35">
        <f>S70+R71</f>
        <v/>
      </c>
    </row>
    <row r="72" ht="15.75" customHeight="1" s="94">
      <c r="A72" s="36" t="n">
        <v>71</v>
      </c>
      <c r="B72" s="37" t="inlineStr">
        <is>
          <t>SELL</t>
        </is>
      </c>
      <c r="C72" s="38" t="n">
        <v>46063</v>
      </c>
      <c r="D72" s="39" t="n">
        <v>50000</v>
      </c>
      <c r="E72" s="40" t="n">
        <v>869.15</v>
      </c>
      <c r="F72" s="40" t="n">
        <v>869.15</v>
      </c>
      <c r="G72" s="41" t="n">
        <v>-53.46</v>
      </c>
      <c r="H72" s="41" t="n">
        <v>-0.06</v>
      </c>
      <c r="I72" s="19" t="n">
        <v>394.400000000002</v>
      </c>
      <c r="J72" s="41" t="n">
        <v>551.8</v>
      </c>
      <c r="K72" s="42">
        <f>IF(AND(B72="SELL",E72&gt;0,J72&lt;&gt;""),J72/E72,0)</f>
        <v/>
      </c>
      <c r="L72" s="42" t="n">
        <v>0.59</v>
      </c>
      <c r="M72" s="40">
        <f>IF(AND(B72="SELL",L72&gt;0),D72*L72,0)</f>
        <v/>
      </c>
      <c r="N72" s="36" t="n"/>
      <c r="O72" s="43">
        <f>IF(AND(B72="SELL",G72&lt;&gt;0),Q72/ABS(G72),0)</f>
        <v/>
      </c>
      <c r="P72" s="43">
        <f>IF(AND(B72="SELL",D72&gt;0),R72/D72,0)</f>
        <v/>
      </c>
      <c r="Q72" s="44">
        <f>IF(AND(B72="SELL",D72&gt;0,E72&gt;0),(D72/E72)+G72,0)</f>
        <v/>
      </c>
      <c r="R72" s="45">
        <f>IF(B72="SELL",Q72*F72,0)</f>
        <v/>
      </c>
      <c r="S72" s="24">
        <f>S71+R72</f>
        <v/>
      </c>
    </row>
    <row r="73" ht="15.75" customHeight="1" s="94">
      <c r="A73" s="46" t="n">
        <v>72</v>
      </c>
      <c r="B73" s="47" t="inlineStr">
        <is>
          <t>SELL</t>
        </is>
      </c>
      <c r="C73" s="48" t="n">
        <v>46063</v>
      </c>
      <c r="D73" s="49" t="n">
        <v>13000</v>
      </c>
      <c r="E73" s="50" t="n">
        <v>869.15</v>
      </c>
      <c r="F73" s="50" t="n">
        <v>869.15</v>
      </c>
      <c r="G73" s="51" t="n">
        <v>-14.07</v>
      </c>
      <c r="H73" s="51" t="n">
        <v>-0.06</v>
      </c>
      <c r="I73" s="30" t="n">
        <v>380.270000000002</v>
      </c>
      <c r="J73" s="51" t="n">
        <v>544.11</v>
      </c>
      <c r="K73" s="52">
        <f>IF(AND(B73="SELL",E73&gt;0,J73&lt;&gt;""),J73/E73,0)</f>
        <v/>
      </c>
      <c r="L73" s="52" t="n">
        <v>0.59</v>
      </c>
      <c r="M73" s="50">
        <f>IF(AND(B73="SELL",L73&gt;0),D73*L73,0)</f>
        <v/>
      </c>
      <c r="N73" s="46" t="n"/>
      <c r="O73" s="53">
        <f>IF(AND(B73="SELL",G73&lt;&gt;0),Q73/ABS(G73),0)</f>
        <v/>
      </c>
      <c r="P73" s="53">
        <f>IF(AND(B73="SELL",D73&gt;0),R73/D73,0)</f>
        <v/>
      </c>
      <c r="Q73" s="54">
        <f>IF(AND(B73="SELL",D73&gt;0,E73&gt;0),(D73/E73)+G73,0)</f>
        <v/>
      </c>
      <c r="R73" s="55">
        <f>IF(B73="SELL",Q73*F73,0)</f>
        <v/>
      </c>
      <c r="S73" s="35">
        <f>S72+R73</f>
        <v/>
      </c>
    </row>
    <row r="74" ht="15.75" customHeight="1" s="94">
      <c r="A74" s="36" t="n">
        <v>73</v>
      </c>
      <c r="B74" s="37" t="inlineStr">
        <is>
          <t>SELL</t>
        </is>
      </c>
      <c r="C74" s="38" t="n">
        <v>46063</v>
      </c>
      <c r="D74" s="39" t="n">
        <v>50000</v>
      </c>
      <c r="E74" s="40" t="n">
        <v>869.15</v>
      </c>
      <c r="F74" s="40" t="n">
        <v>869.15</v>
      </c>
      <c r="G74" s="41" t="n">
        <v>-54.2</v>
      </c>
      <c r="H74" s="41" t="n">
        <v>-0.06</v>
      </c>
      <c r="I74" s="19" t="n">
        <v>326.010000000002</v>
      </c>
      <c r="J74" s="41" t="n">
        <v>544.22</v>
      </c>
      <c r="K74" s="42">
        <f>IF(AND(B74="SELL",E74&gt;0,J74&lt;&gt;""),J74/E74,0)</f>
        <v/>
      </c>
      <c r="L74" s="42" t="n">
        <v>0.59</v>
      </c>
      <c r="M74" s="40">
        <f>IF(AND(B74="SELL",L74&gt;0),D74*L74,0)</f>
        <v/>
      </c>
      <c r="N74" s="36" t="n"/>
      <c r="O74" s="43">
        <f>IF(AND(B74="SELL",G74&lt;&gt;0),Q74/ABS(G74),0)</f>
        <v/>
      </c>
      <c r="P74" s="43">
        <f>IF(AND(B74="SELL",D74&gt;0),R74/D74,0)</f>
        <v/>
      </c>
      <c r="Q74" s="44">
        <f>IF(AND(B74="SELL",D74&gt;0,E74&gt;0),(D74/E74)+G74,0)</f>
        <v/>
      </c>
      <c r="R74" s="45">
        <f>IF(B74="SELL",Q74*F74,0)</f>
        <v/>
      </c>
      <c r="S74" s="24">
        <f>S73+R74</f>
        <v/>
      </c>
    </row>
    <row r="75" ht="15.75" customHeight="1" s="94">
      <c r="A75" s="46" t="n">
        <v>74</v>
      </c>
      <c r="B75" s="47" t="inlineStr">
        <is>
          <t>SELL</t>
        </is>
      </c>
      <c r="C75" s="48" t="n">
        <v>46063</v>
      </c>
      <c r="D75" s="49" t="n">
        <v>50000</v>
      </c>
      <c r="E75" s="50" t="n">
        <v>869.15</v>
      </c>
      <c r="F75" s="50" t="n">
        <v>869.15</v>
      </c>
      <c r="G75" s="51" t="n">
        <v>-54.15</v>
      </c>
      <c r="H75" s="51" t="n">
        <v>-0.06</v>
      </c>
      <c r="I75" s="30" t="n">
        <v>271.800000000002</v>
      </c>
      <c r="J75" s="51" t="n">
        <v>544.751</v>
      </c>
      <c r="K75" s="52">
        <f>IF(AND(B75="SELL",E75&gt;0,J75&lt;&gt;""),J75/E75,0)</f>
        <v/>
      </c>
      <c r="L75" s="52" t="n">
        <v>0.59</v>
      </c>
      <c r="M75" s="50">
        <f>IF(AND(B75="SELL",L75&gt;0),D75*L75,0)</f>
        <v/>
      </c>
      <c r="N75" s="46" t="n"/>
      <c r="O75" s="53">
        <f>IF(AND(B75="SELL",G75&lt;&gt;0),Q75/ABS(G75),0)</f>
        <v/>
      </c>
      <c r="P75" s="53">
        <f>IF(AND(B75="SELL",D75&gt;0),R75/D75,0)</f>
        <v/>
      </c>
      <c r="Q75" s="54">
        <f>IF(AND(B75="SELL",D75&gt;0,E75&gt;0),(D75/E75)+G75,0)</f>
        <v/>
      </c>
      <c r="R75" s="55">
        <f>IF(B75="SELL",Q75*F75,0)</f>
        <v/>
      </c>
      <c r="S75" s="35">
        <f>S74+R75</f>
        <v/>
      </c>
    </row>
    <row r="76" ht="15.75" customHeight="1" s="94">
      <c r="A76" s="36" t="n">
        <v>75</v>
      </c>
      <c r="B76" s="37" t="inlineStr">
        <is>
          <t>SELL</t>
        </is>
      </c>
      <c r="C76" s="38" t="n">
        <v>46063</v>
      </c>
      <c r="D76" s="39" t="n">
        <v>64000</v>
      </c>
      <c r="E76" s="40" t="n">
        <v>869.15</v>
      </c>
      <c r="F76" s="40" t="n">
        <v>869.15</v>
      </c>
      <c r="G76" s="41" t="n">
        <v>-69.13</v>
      </c>
      <c r="H76" s="41" t="n">
        <v>-0.06</v>
      </c>
      <c r="I76" s="19" t="n">
        <v>202.610000000002</v>
      </c>
      <c r="J76" s="41" t="n">
        <v>546.177</v>
      </c>
      <c r="K76" s="42">
        <f>IF(AND(B76="SELL",E76&gt;0,J76&lt;&gt;""),J76/E76,0)</f>
        <v/>
      </c>
      <c r="L76" s="42" t="n">
        <v>0.59</v>
      </c>
      <c r="M76" s="40">
        <f>IF(AND(B76="SELL",L76&gt;0),D76*L76,0)</f>
        <v/>
      </c>
      <c r="N76" s="36" t="n"/>
      <c r="O76" s="43">
        <f>IF(AND(B76="SELL",G76&lt;&gt;0),Q76/ABS(G76),0)</f>
        <v/>
      </c>
      <c r="P76" s="43">
        <f>IF(AND(B76="SELL",D76&gt;0),R76/D76,0)</f>
        <v/>
      </c>
      <c r="Q76" s="44">
        <f>IF(AND(B76="SELL",D76&gt;0,E76&gt;0),(D76/E76)+G76,0)</f>
        <v/>
      </c>
      <c r="R76" s="45">
        <f>IF(B76="SELL",Q76*F76,0)</f>
        <v/>
      </c>
      <c r="S76" s="24">
        <f>S75+R76</f>
        <v/>
      </c>
    </row>
    <row r="77" ht="15.75" customHeight="1" s="94">
      <c r="A77" s="46" t="n">
        <v>76</v>
      </c>
      <c r="B77" s="47" t="inlineStr">
        <is>
          <t>SELL</t>
        </is>
      </c>
      <c r="C77" s="48" t="n">
        <v>46063</v>
      </c>
      <c r="D77" s="49" t="n">
        <v>150000</v>
      </c>
      <c r="E77" s="50" t="n">
        <v>869.15</v>
      </c>
      <c r="F77" s="50" t="n">
        <v>869.15</v>
      </c>
      <c r="G77" s="51" t="n">
        <v>-161.73</v>
      </c>
      <c r="H77" s="51" t="n">
        <v>-0.06</v>
      </c>
      <c r="I77" s="30" t="n">
        <v>40.8200000000022</v>
      </c>
      <c r="J77" s="51" t="n">
        <v>547.2</v>
      </c>
      <c r="K77" s="52">
        <f>IF(AND(B77="SELL",E77&gt;0,J77&lt;&gt;""),J77/E77,0)</f>
        <v/>
      </c>
      <c r="L77" s="52" t="n">
        <v>0.59</v>
      </c>
      <c r="M77" s="50">
        <f>IF(AND(B77="SELL",L77&gt;0),D77*L77,0)</f>
        <v/>
      </c>
      <c r="N77" s="46" t="n"/>
      <c r="O77" s="53">
        <f>IF(AND(B77="SELL",G77&lt;&gt;0),Q77/ABS(G77),0)</f>
        <v/>
      </c>
      <c r="P77" s="53">
        <f>IF(AND(B77="SELL",D77&gt;0),R77/D77,0)</f>
        <v/>
      </c>
      <c r="Q77" s="54">
        <f>IF(AND(B77="SELL",D77&gt;0,E77&gt;0),(D77/E77)+G77,0)</f>
        <v/>
      </c>
      <c r="R77" s="55">
        <f>IF(B77="SELL",Q77*F77,0)</f>
        <v/>
      </c>
      <c r="S77" s="35">
        <f>S76+R77</f>
        <v/>
      </c>
    </row>
    <row r="78" ht="15.75" customHeight="1" s="94">
      <c r="A78" s="14" t="n">
        <v>77</v>
      </c>
      <c r="B78" s="15" t="inlineStr">
        <is>
          <t>BUY</t>
        </is>
      </c>
      <c r="C78" s="16" t="n">
        <v>46063</v>
      </c>
      <c r="D78" s="17" t="n">
        <v>2046000</v>
      </c>
      <c r="E78" s="18" t="n">
        <v>861.9</v>
      </c>
      <c r="F78" s="18" t="n">
        <v>861.9</v>
      </c>
      <c r="G78" s="19" t="n">
        <v>2373.75</v>
      </c>
      <c r="H78" s="19" t="n">
        <v>-0.06</v>
      </c>
      <c r="I78" s="19" t="n">
        <v>2414.57</v>
      </c>
      <c r="J78" s="19" t="n"/>
      <c r="K78" s="20">
        <f>IF(AND(B78="SELL",E78&gt;0,J78&lt;&gt;""),J78/E78,0)</f>
        <v/>
      </c>
      <c r="L78" s="20" t="n"/>
      <c r="M78" s="18">
        <f>IF(AND(B78="SELL",L78&gt;0),D78*L78,0)</f>
        <v/>
      </c>
      <c r="N78" s="14" t="n"/>
      <c r="O78" s="21">
        <f>IF(AND(B78="SELL",G78&lt;&gt;0),Q78/ABS(G78),0)</f>
        <v/>
      </c>
      <c r="P78" s="21">
        <f>IF(AND(B78="SELL",D78&gt;0),R78/D78,0)</f>
        <v/>
      </c>
      <c r="Q78" s="22">
        <f>IF(AND(B78="SELL",D78&gt;0,E78&gt;0),(D78/E78)+G78,0)</f>
        <v/>
      </c>
      <c r="R78" s="23">
        <f>IF(B78="SELL",Q78*F78,0)</f>
        <v/>
      </c>
      <c r="S78" s="24">
        <f>S77+R78</f>
        <v/>
      </c>
    </row>
    <row r="79" ht="15.75" customHeight="1" s="94">
      <c r="A79" s="46" t="n">
        <v>78</v>
      </c>
      <c r="B79" s="47" t="inlineStr">
        <is>
          <t>SELL</t>
        </is>
      </c>
      <c r="C79" s="48" t="n">
        <v>46064</v>
      </c>
      <c r="D79" s="49" t="n">
        <v>10000</v>
      </c>
      <c r="E79" s="50" t="n">
        <v>861.9</v>
      </c>
      <c r="F79" s="50" t="n">
        <v>861.9</v>
      </c>
      <c r="G79" s="51" t="n">
        <v>-11.03</v>
      </c>
      <c r="H79" s="51" t="n">
        <v>-0.06</v>
      </c>
      <c r="I79" s="30" t="n">
        <v>2403.48</v>
      </c>
      <c r="J79" s="51" t="n">
        <v>543.8099999999999</v>
      </c>
      <c r="K79" s="52">
        <f>IF(AND(B79="SELL",E79&gt;0,J79&lt;&gt;""),J79/E79,0)</f>
        <v/>
      </c>
      <c r="L79" s="52" t="n">
        <v>0.6</v>
      </c>
      <c r="M79" s="50">
        <f>IF(AND(B79="SELL",L79&gt;0),D79*L79,0)</f>
        <v/>
      </c>
      <c r="N79" s="46" t="n"/>
      <c r="O79" s="53">
        <f>IF(AND(B79="SELL",G79&lt;&gt;0),Q79/ABS(G79),0)</f>
        <v/>
      </c>
      <c r="P79" s="53">
        <f>IF(AND(B79="SELL",D79&gt;0),R79/D79,0)</f>
        <v/>
      </c>
      <c r="Q79" s="54">
        <f>IF(AND(B79="SELL",D79&gt;0,E79&gt;0),(D79/E79)+G79,0)</f>
        <v/>
      </c>
      <c r="R79" s="55">
        <f>IF(B79="SELL",Q79*F79,0)</f>
        <v/>
      </c>
      <c r="S79" s="35">
        <f>S78+R79</f>
        <v/>
      </c>
    </row>
    <row r="80" ht="15.75" customHeight="1" s="94">
      <c r="A80" s="36" t="n">
        <v>79</v>
      </c>
      <c r="B80" s="37" t="inlineStr">
        <is>
          <t>SELL</t>
        </is>
      </c>
      <c r="C80" s="38" t="n">
        <v>46064</v>
      </c>
      <c r="D80" s="39" t="n">
        <v>61000</v>
      </c>
      <c r="E80" s="40" t="n">
        <v>861.9</v>
      </c>
      <c r="F80" s="40" t="n">
        <v>861.9</v>
      </c>
      <c r="G80" s="41" t="n">
        <v>-67.7</v>
      </c>
      <c r="H80" s="41" t="n">
        <v>-0.06</v>
      </c>
      <c r="I80" s="19" t="n">
        <v>2335.72</v>
      </c>
      <c r="J80" s="41" t="n">
        <v>543.801</v>
      </c>
      <c r="K80" s="42">
        <f>IF(AND(B80="SELL",E80&gt;0,J80&lt;&gt;""),J80/E80,0)</f>
        <v/>
      </c>
      <c r="L80" s="42" t="n">
        <v>0.6</v>
      </c>
      <c r="M80" s="40">
        <f>IF(AND(B80="SELL",L80&gt;0),D80*L80,0)</f>
        <v/>
      </c>
      <c r="N80" s="36" t="n"/>
      <c r="O80" s="43">
        <f>IF(AND(B80="SELL",G80&lt;&gt;0),Q80/ABS(G80),0)</f>
        <v/>
      </c>
      <c r="P80" s="43">
        <f>IF(AND(B80="SELL",D80&gt;0),R80/D80,0)</f>
        <v/>
      </c>
      <c r="Q80" s="44">
        <f>IF(AND(B80="SELL",D80&gt;0,E80&gt;0),(D80/E80)+G80,0)</f>
        <v/>
      </c>
      <c r="R80" s="45">
        <f>IF(B80="SELL",Q80*F80,0)</f>
        <v/>
      </c>
      <c r="S80" s="24">
        <f>S79+R80</f>
        <v/>
      </c>
    </row>
    <row r="81" ht="15.75" customHeight="1" s="94">
      <c r="A81" s="46" t="n">
        <v>80</v>
      </c>
      <c r="B81" s="47" t="inlineStr">
        <is>
          <t>SELL</t>
        </is>
      </c>
      <c r="C81" s="48" t="n">
        <v>46064</v>
      </c>
      <c r="D81" s="49" t="n">
        <v>29000</v>
      </c>
      <c r="E81" s="50" t="n">
        <v>861.9</v>
      </c>
      <c r="F81" s="50" t="n">
        <v>861.9</v>
      </c>
      <c r="G81" s="51" t="n">
        <v>-31.98</v>
      </c>
      <c r="H81" s="51" t="n">
        <v>-0.06</v>
      </c>
      <c r="I81" s="30" t="n">
        <v>2303.68</v>
      </c>
      <c r="J81" s="51" t="n">
        <v>544</v>
      </c>
      <c r="K81" s="52">
        <f>IF(AND(B81="SELL",E81&gt;0,J81&lt;&gt;""),J81/E81,0)</f>
        <v/>
      </c>
      <c r="L81" s="52" t="n">
        <v>0.6</v>
      </c>
      <c r="M81" s="50">
        <f>IF(AND(B81="SELL",L81&gt;0),D81*L81,0)</f>
        <v/>
      </c>
      <c r="N81" s="46" t="n"/>
      <c r="O81" s="53">
        <f>IF(AND(B81="SELL",G81&lt;&gt;0),Q81/ABS(G81),0)</f>
        <v/>
      </c>
      <c r="P81" s="53">
        <f>IF(AND(B81="SELL",D81&gt;0),R81/D81,0)</f>
        <v/>
      </c>
      <c r="Q81" s="54">
        <f>IF(AND(B81="SELL",D81&gt;0,E81&gt;0),(D81/E81)+G81,0)</f>
        <v/>
      </c>
      <c r="R81" s="55">
        <f>IF(B81="SELL",Q81*F81,0)</f>
        <v/>
      </c>
      <c r="S81" s="35">
        <f>S80+R81</f>
        <v/>
      </c>
    </row>
    <row r="82" ht="15.75" customHeight="1" s="94">
      <c r="A82" s="36" t="n">
        <v>81</v>
      </c>
      <c r="B82" s="37" t="inlineStr">
        <is>
          <t>SELL</t>
        </is>
      </c>
      <c r="C82" s="38" t="n">
        <v>46064</v>
      </c>
      <c r="D82" s="39" t="n">
        <v>50000</v>
      </c>
      <c r="E82" s="40" t="n">
        <v>861.9</v>
      </c>
      <c r="F82" s="40" t="n">
        <v>861.9</v>
      </c>
      <c r="G82" s="41" t="n">
        <v>-54.62</v>
      </c>
      <c r="H82" s="41" t="n">
        <v>-0.06</v>
      </c>
      <c r="I82" s="19" t="n">
        <v>2249</v>
      </c>
      <c r="J82" s="41" t="n">
        <v>549.216</v>
      </c>
      <c r="K82" s="42">
        <f>IF(AND(B82="SELL",E82&gt;0,J82&lt;&gt;""),J82/E82,0)</f>
        <v/>
      </c>
      <c r="L82" s="42" t="n">
        <v>0.6</v>
      </c>
      <c r="M82" s="40">
        <f>IF(AND(B82="SELL",L82&gt;0),D82*L82,0)</f>
        <v/>
      </c>
      <c r="N82" s="36" t="n"/>
      <c r="O82" s="43">
        <f>IF(AND(B82="SELL",G82&lt;&gt;0),Q82/ABS(G82),0)</f>
        <v/>
      </c>
      <c r="P82" s="43">
        <f>IF(AND(B82="SELL",D82&gt;0),R82/D82,0)</f>
        <v/>
      </c>
      <c r="Q82" s="44">
        <f>IF(AND(B82="SELL",D82&gt;0,E82&gt;0),(D82/E82)+G82,0)</f>
        <v/>
      </c>
      <c r="R82" s="45">
        <f>IF(B82="SELL",Q82*F82,0)</f>
        <v/>
      </c>
      <c r="S82" s="24">
        <f>S81+R82</f>
        <v/>
      </c>
    </row>
    <row r="83" ht="15.75" customHeight="1" s="94">
      <c r="A83" s="46" t="n">
        <v>82</v>
      </c>
      <c r="B83" s="47" t="inlineStr">
        <is>
          <t>SELL</t>
        </is>
      </c>
      <c r="C83" s="48" t="n">
        <v>46064</v>
      </c>
      <c r="D83" s="49" t="n">
        <v>15000</v>
      </c>
      <c r="E83" s="50" t="n">
        <v>861.9</v>
      </c>
      <c r="F83" s="50" t="n">
        <v>861.9</v>
      </c>
      <c r="G83" s="51" t="n">
        <v>-16.62</v>
      </c>
      <c r="H83" s="51" t="n">
        <v>-0.06</v>
      </c>
      <c r="I83" s="30" t="n">
        <v>2232.32</v>
      </c>
      <c r="J83" s="51" t="n">
        <v>541.3</v>
      </c>
      <c r="K83" s="52">
        <f>IF(AND(B83="SELL",E83&gt;0,J83&lt;&gt;""),J83/E83,0)</f>
        <v/>
      </c>
      <c r="L83" s="52" t="n">
        <v>0.6</v>
      </c>
      <c r="M83" s="50">
        <f>IF(AND(B83="SELL",L83&gt;0),D83*L83,0)</f>
        <v/>
      </c>
      <c r="N83" s="46" t="n"/>
      <c r="O83" s="53">
        <f>IF(AND(B83="SELL",G83&lt;&gt;0),Q83/ABS(G83),0)</f>
        <v/>
      </c>
      <c r="P83" s="53">
        <f>IF(AND(B83="SELL",D83&gt;0),R83/D83,0)</f>
        <v/>
      </c>
      <c r="Q83" s="54">
        <f>IF(AND(B83="SELL",D83&gt;0,E83&gt;0),(D83/E83)+G83,0)</f>
        <v/>
      </c>
      <c r="R83" s="55">
        <f>IF(B83="SELL",Q83*F83,0)</f>
        <v/>
      </c>
      <c r="S83" s="35">
        <f>S82+R83</f>
        <v/>
      </c>
    </row>
    <row r="84" ht="15.75" customHeight="1" s="94">
      <c r="A84" s="36" t="n">
        <v>83</v>
      </c>
      <c r="B84" s="37" t="inlineStr">
        <is>
          <t>SELL</t>
        </is>
      </c>
      <c r="C84" s="38" t="n">
        <v>46064</v>
      </c>
      <c r="D84" s="39" t="n">
        <v>20000</v>
      </c>
      <c r="E84" s="40" t="n">
        <v>861.9</v>
      </c>
      <c r="F84" s="40" t="n">
        <v>861.9</v>
      </c>
      <c r="G84" s="41" t="n">
        <v>-22.11</v>
      </c>
      <c r="H84" s="41" t="n">
        <v>-0.06</v>
      </c>
      <c r="I84" s="19" t="n">
        <v>2210.15</v>
      </c>
      <c r="J84" s="41" t="n">
        <v>542.232</v>
      </c>
      <c r="K84" s="42">
        <f>IF(AND(B84="SELL",E84&gt;0,J84&lt;&gt;""),J84/E84,0)</f>
        <v/>
      </c>
      <c r="L84" s="42" t="n">
        <v>0.6</v>
      </c>
      <c r="M84" s="40">
        <f>IF(AND(B84="SELL",L84&gt;0),D84*L84,0)</f>
        <v/>
      </c>
      <c r="N84" s="36" t="n"/>
      <c r="O84" s="43">
        <f>IF(AND(B84="SELL",G84&lt;&gt;0),Q84/ABS(G84),0)</f>
        <v/>
      </c>
      <c r="P84" s="43">
        <f>IF(AND(B84="SELL",D84&gt;0),R84/D84,0)</f>
        <v/>
      </c>
      <c r="Q84" s="44">
        <f>IF(AND(B84="SELL",D84&gt;0,E84&gt;0),(D84/E84)+G84,0)</f>
        <v/>
      </c>
      <c r="R84" s="45">
        <f>IF(B84="SELL",Q84*F84,0)</f>
        <v/>
      </c>
      <c r="S84" s="24">
        <f>S83+R84</f>
        <v/>
      </c>
    </row>
    <row r="85" ht="15.75" customHeight="1" s="94">
      <c r="A85" s="46" t="n">
        <v>84</v>
      </c>
      <c r="B85" s="47" t="inlineStr">
        <is>
          <t>SELL</t>
        </is>
      </c>
      <c r="C85" s="48" t="n">
        <v>46064</v>
      </c>
      <c r="D85" s="49" t="n">
        <v>60000</v>
      </c>
      <c r="E85" s="50" t="n">
        <v>861.9</v>
      </c>
      <c r="F85" s="50" t="n">
        <v>861.9</v>
      </c>
      <c r="G85" s="51" t="n">
        <v>-66.3</v>
      </c>
      <c r="H85" s="51" t="n">
        <v>-0.06</v>
      </c>
      <c r="I85" s="30" t="n">
        <v>2143.79</v>
      </c>
      <c r="J85" s="51" t="n">
        <v>542.951</v>
      </c>
      <c r="K85" s="52">
        <f>IF(AND(B85="SELL",E85&gt;0,J85&lt;&gt;""),J85/E85,0)</f>
        <v/>
      </c>
      <c r="L85" s="52" t="n">
        <v>0.6</v>
      </c>
      <c r="M85" s="50">
        <f>IF(AND(B85="SELL",L85&gt;0),D85*L85,0)</f>
        <v/>
      </c>
      <c r="N85" s="46" t="n"/>
      <c r="O85" s="53">
        <f>IF(AND(B85="SELL",G85&lt;&gt;0),Q85/ABS(G85),0)</f>
        <v/>
      </c>
      <c r="P85" s="53">
        <f>IF(AND(B85="SELL",D85&gt;0),R85/D85,0)</f>
        <v/>
      </c>
      <c r="Q85" s="54">
        <f>IF(AND(B85="SELL",D85&gt;0,E85&gt;0),(D85/E85)+G85,0)</f>
        <v/>
      </c>
      <c r="R85" s="55">
        <f>IF(B85="SELL",Q85*F85,0)</f>
        <v/>
      </c>
      <c r="S85" s="35">
        <f>S84+R85</f>
        <v/>
      </c>
    </row>
    <row r="86" ht="15.75" customHeight="1" s="94">
      <c r="A86" s="36" t="n">
        <v>85</v>
      </c>
      <c r="B86" s="37" t="inlineStr">
        <is>
          <t>SELL</t>
        </is>
      </c>
      <c r="C86" s="38" t="n">
        <v>46064</v>
      </c>
      <c r="D86" s="39" t="n">
        <v>10000</v>
      </c>
      <c r="E86" s="40" t="n">
        <v>861.9</v>
      </c>
      <c r="F86" s="40" t="n">
        <v>861.9</v>
      </c>
      <c r="G86" s="41" t="n">
        <v>-11.02</v>
      </c>
      <c r="H86" s="41" t="n">
        <v>-0.06</v>
      </c>
      <c r="I86" s="19" t="n">
        <v>2132.71</v>
      </c>
      <c r="J86" s="41" t="n">
        <v>544.111</v>
      </c>
      <c r="K86" s="42">
        <f>IF(AND(B86="SELL",E86&gt;0,J86&lt;&gt;""),J86/E86,0)</f>
        <v/>
      </c>
      <c r="L86" s="42" t="n">
        <v>0.6</v>
      </c>
      <c r="M86" s="40">
        <f>IF(AND(B86="SELL",L86&gt;0),D86*L86,0)</f>
        <v/>
      </c>
      <c r="N86" s="36" t="n"/>
      <c r="O86" s="43">
        <f>IF(AND(B86="SELL",G86&lt;&gt;0),Q86/ABS(G86),0)</f>
        <v/>
      </c>
      <c r="P86" s="43">
        <f>IF(AND(B86="SELL",D86&gt;0),R86/D86,0)</f>
        <v/>
      </c>
      <c r="Q86" s="44">
        <f>IF(AND(B86="SELL",D86&gt;0,E86&gt;0),(D86/E86)+G86,0)</f>
        <v/>
      </c>
      <c r="R86" s="45">
        <f>IF(B86="SELL",Q86*F86,0)</f>
        <v/>
      </c>
      <c r="S86" s="24">
        <f>S85+R86</f>
        <v/>
      </c>
    </row>
    <row r="87" ht="15.75" customHeight="1" s="94">
      <c r="A87" s="46" t="n">
        <v>86</v>
      </c>
      <c r="B87" s="47" t="inlineStr">
        <is>
          <t>SELL</t>
        </is>
      </c>
      <c r="C87" s="48" t="n">
        <v>46065</v>
      </c>
      <c r="D87" s="49" t="n">
        <v>10000</v>
      </c>
      <c r="E87" s="50" t="n">
        <v>861.9</v>
      </c>
      <c r="F87" s="50" t="n">
        <v>861.9</v>
      </c>
      <c r="G87" s="51" t="n">
        <v>-11.03</v>
      </c>
      <c r="H87" s="51" t="n">
        <v>-0.06</v>
      </c>
      <c r="I87" s="30" t="n">
        <v>2121.62</v>
      </c>
      <c r="J87" s="51" t="n">
        <v>544.502</v>
      </c>
      <c r="K87" s="52">
        <f>IF(AND(B87="SELL",E87&gt;0,J87&lt;&gt;""),J87/E87,0)</f>
        <v/>
      </c>
      <c r="L87" s="52" t="n">
        <v>0.601</v>
      </c>
      <c r="M87" s="50">
        <f>IF(AND(B87="SELL",L87&gt;0),D87*L87,0)</f>
        <v/>
      </c>
      <c r="N87" s="46" t="n"/>
      <c r="O87" s="53">
        <f>IF(AND(B87="SELL",G87&lt;&gt;0),Q87/ABS(G87),0)</f>
        <v/>
      </c>
      <c r="P87" s="53">
        <f>IF(AND(B87="SELL",D87&gt;0),R87/D87,0)</f>
        <v/>
      </c>
      <c r="Q87" s="54">
        <f>IF(AND(B87="SELL",D87&gt;0,E87&gt;0),(D87/E87)+G87,0)</f>
        <v/>
      </c>
      <c r="R87" s="55">
        <f>IF(B87="SELL",Q87*F87,0)</f>
        <v/>
      </c>
      <c r="S87" s="35">
        <f>S86+R87</f>
        <v/>
      </c>
    </row>
    <row r="88" ht="15.75" customHeight="1" s="94">
      <c r="A88" s="36" t="n">
        <v>87</v>
      </c>
      <c r="B88" s="37" t="inlineStr">
        <is>
          <t>SELL</t>
        </is>
      </c>
      <c r="C88" s="38" t="n">
        <v>46065</v>
      </c>
      <c r="D88" s="39" t="n">
        <v>15000</v>
      </c>
      <c r="E88" s="40" t="n">
        <v>861.9</v>
      </c>
      <c r="F88" s="40" t="n">
        <v>861.9</v>
      </c>
      <c r="G88" s="41" t="n">
        <v>-16.68</v>
      </c>
      <c r="H88" s="41" t="n">
        <v>-0.06</v>
      </c>
      <c r="I88" s="19" t="n">
        <v>2104.88</v>
      </c>
      <c r="J88" s="41" t="n">
        <v>539.101</v>
      </c>
      <c r="K88" s="42">
        <f>IF(AND(B88="SELL",E88&gt;0,J88&lt;&gt;""),J88/E88,0)</f>
        <v/>
      </c>
      <c r="L88" s="42" t="n">
        <v>0.601</v>
      </c>
      <c r="M88" s="40">
        <f>IF(AND(B88="SELL",L88&gt;0),D88*L88,0)</f>
        <v/>
      </c>
      <c r="N88" s="36" t="n"/>
      <c r="O88" s="43">
        <f>IF(AND(B88="SELL",G88&lt;&gt;0),Q88/ABS(G88),0)</f>
        <v/>
      </c>
      <c r="P88" s="43">
        <f>IF(AND(B88="SELL",D88&gt;0),R88/D88,0)</f>
        <v/>
      </c>
      <c r="Q88" s="44">
        <f>IF(AND(B88="SELL",D88&gt;0,E88&gt;0),(D88/E88)+G88,0)</f>
        <v/>
      </c>
      <c r="R88" s="45">
        <f>IF(B88="SELL",Q88*F88,0)</f>
        <v/>
      </c>
      <c r="S88" s="24">
        <f>S87+R88</f>
        <v/>
      </c>
    </row>
    <row r="89" ht="15.75" customHeight="1" s="94">
      <c r="A89" s="46" t="n">
        <v>88</v>
      </c>
      <c r="B89" s="47" t="inlineStr">
        <is>
          <t>SELL</t>
        </is>
      </c>
      <c r="C89" s="48" t="n">
        <v>46065</v>
      </c>
      <c r="D89" s="49" t="n">
        <v>10000</v>
      </c>
      <c r="E89" s="50" t="n">
        <v>861.9</v>
      </c>
      <c r="F89" s="50" t="n">
        <v>861.9</v>
      </c>
      <c r="G89" s="51" t="n">
        <v>-11.15</v>
      </c>
      <c r="H89" s="51" t="n">
        <v>-0.06</v>
      </c>
      <c r="I89" s="30" t="n">
        <v>2093.67</v>
      </c>
      <c r="J89" s="51" t="n">
        <v>578.35</v>
      </c>
      <c r="K89" s="52">
        <f>IF(AND(B89="SELL",E89&gt;0,J89&lt;&gt;""),J89/E89,0)</f>
        <v/>
      </c>
      <c r="L89" s="52" t="n">
        <v>0.601</v>
      </c>
      <c r="M89" s="50">
        <f>IF(AND(B89="SELL",L89&gt;0),D89*L89,0)</f>
        <v/>
      </c>
      <c r="N89" s="46" t="n"/>
      <c r="O89" s="53">
        <f>IF(AND(B89="SELL",G89&lt;&gt;0),Q89/ABS(G89),0)</f>
        <v/>
      </c>
      <c r="P89" s="53">
        <f>IF(AND(B89="SELL",D89&gt;0),R89/D89,0)</f>
        <v/>
      </c>
      <c r="Q89" s="54">
        <f>IF(AND(B89="SELL",D89&gt;0,E89&gt;0),(D89/E89)+G89,0)</f>
        <v/>
      </c>
      <c r="R89" s="55">
        <f>IF(B89="SELL",Q89*F89,0)</f>
        <v/>
      </c>
      <c r="S89" s="35">
        <f>S88+R89</f>
        <v/>
      </c>
    </row>
    <row r="90" ht="15.75" customHeight="1" s="94">
      <c r="A90" s="36" t="n">
        <v>89</v>
      </c>
      <c r="B90" s="37" t="inlineStr">
        <is>
          <t>SELL</t>
        </is>
      </c>
      <c r="C90" s="38" t="n">
        <v>46065</v>
      </c>
      <c r="D90" s="39" t="n">
        <v>27300</v>
      </c>
      <c r="E90" s="40" t="n">
        <v>861.9</v>
      </c>
      <c r="F90" s="40" t="n">
        <v>861.9</v>
      </c>
      <c r="G90" s="41" t="n">
        <v>-30.38</v>
      </c>
      <c r="H90" s="41" t="n">
        <v>-0.06</v>
      </c>
      <c r="I90" s="19" t="n">
        <v>2063.23</v>
      </c>
      <c r="J90" s="41" t="n">
        <v>539.101</v>
      </c>
      <c r="K90" s="42">
        <f>IF(AND(B90="SELL",E90&gt;0,J90&lt;&gt;""),J90/E90,0)</f>
        <v/>
      </c>
      <c r="L90" s="42" t="n">
        <v>0.601</v>
      </c>
      <c r="M90" s="40">
        <f>IF(AND(B90="SELL",L90&gt;0),D90*L90,0)</f>
        <v/>
      </c>
      <c r="N90" s="36" t="n"/>
      <c r="O90" s="43">
        <f>IF(AND(B90="SELL",G90&lt;&gt;0),Q90/ABS(G90),0)</f>
        <v/>
      </c>
      <c r="P90" s="43">
        <f>IF(AND(B90="SELL",D90&gt;0),R90/D90,0)</f>
        <v/>
      </c>
      <c r="Q90" s="44">
        <f>IF(AND(B90="SELL",D90&gt;0,E90&gt;0),(D90/E90)+G90,0)</f>
        <v/>
      </c>
      <c r="R90" s="45">
        <f>IF(B90="SELL",Q90*F90,0)</f>
        <v/>
      </c>
      <c r="S90" s="24">
        <f>S89+R90</f>
        <v/>
      </c>
    </row>
    <row r="91" ht="15.75" customHeight="1" s="94">
      <c r="A91" s="46" t="n">
        <v>90</v>
      </c>
      <c r="B91" s="47" t="inlineStr">
        <is>
          <t>SELL</t>
        </is>
      </c>
      <c r="C91" s="48" t="n">
        <v>46065</v>
      </c>
      <c r="D91" s="49" t="n">
        <v>35717</v>
      </c>
      <c r="E91" s="50" t="n">
        <v>861.9</v>
      </c>
      <c r="F91" s="50" t="n">
        <v>861.9</v>
      </c>
      <c r="G91" s="51" t="n">
        <v>-39.73</v>
      </c>
      <c r="H91" s="51" t="n">
        <v>-0.06</v>
      </c>
      <c r="I91" s="30" t="n">
        <v>2023.44</v>
      </c>
      <c r="J91" s="51" t="n">
        <v>540.2910000000001</v>
      </c>
      <c r="K91" s="52">
        <f>IF(AND(B91="SELL",E91&gt;0,J91&lt;&gt;""),J91/E91,0)</f>
        <v/>
      </c>
      <c r="L91" s="52" t="n">
        <v>0.601</v>
      </c>
      <c r="M91" s="50">
        <f>IF(AND(B91="SELL",L91&gt;0),D91*L91,0)</f>
        <v/>
      </c>
      <c r="N91" s="46" t="n"/>
      <c r="O91" s="53">
        <f>IF(AND(B91="SELL",G91&lt;&gt;0),Q91/ABS(G91),0)</f>
        <v/>
      </c>
      <c r="P91" s="53">
        <f>IF(AND(B91="SELL",D91&gt;0),R91/D91,0)</f>
        <v/>
      </c>
      <c r="Q91" s="54">
        <f>IF(AND(B91="SELL",D91&gt;0,E91&gt;0),(D91/E91)+G91,0)</f>
        <v/>
      </c>
      <c r="R91" s="55">
        <f>IF(B91="SELL",Q91*F91,0)</f>
        <v/>
      </c>
      <c r="S91" s="35">
        <f>S90+R91</f>
        <v/>
      </c>
    </row>
    <row r="92" ht="15.75" customHeight="1" s="94">
      <c r="A92" s="36" t="n">
        <v>91</v>
      </c>
      <c r="B92" s="37" t="inlineStr">
        <is>
          <t>SELL</t>
        </is>
      </c>
      <c r="C92" s="38" t="n">
        <v>46066</v>
      </c>
      <c r="D92" s="39" t="n">
        <v>20000</v>
      </c>
      <c r="E92" s="40" t="n">
        <v>861.9</v>
      </c>
      <c r="F92" s="40" t="n">
        <v>861.9</v>
      </c>
      <c r="G92" s="41" t="n">
        <v>-22.13</v>
      </c>
      <c r="H92" s="41" t="n">
        <v>-0.06</v>
      </c>
      <c r="I92" s="19" t="n">
        <v>2001.25</v>
      </c>
      <c r="J92" s="41" t="n">
        <v>533.2</v>
      </c>
      <c r="K92" s="42">
        <f>IF(AND(B92="SELL",E92&gt;0,J92&lt;&gt;""),J92/E92,0)</f>
        <v/>
      </c>
      <c r="L92" s="42" t="n">
        <v>0.59</v>
      </c>
      <c r="M92" s="40">
        <f>IF(AND(B92="SELL",L92&gt;0),D92*L92,0)</f>
        <v/>
      </c>
      <c r="N92" s="36" t="n"/>
      <c r="O92" s="43">
        <f>IF(AND(B92="SELL",G92&lt;&gt;0),Q92/ABS(G92),0)</f>
        <v/>
      </c>
      <c r="P92" s="43">
        <f>IF(AND(B92="SELL",D92&gt;0),R92/D92,0)</f>
        <v/>
      </c>
      <c r="Q92" s="44">
        <f>IF(AND(B92="SELL",D92&gt;0,E92&gt;0),(D92/E92)+G92,0)</f>
        <v/>
      </c>
      <c r="R92" s="45">
        <f>IF(B92="SELL",Q92*F92,0)</f>
        <v/>
      </c>
      <c r="S92" s="24">
        <f>S91+R92</f>
        <v/>
      </c>
    </row>
    <row r="93" ht="15.75" customHeight="1" s="94">
      <c r="A93" s="46" t="n">
        <v>92</v>
      </c>
      <c r="B93" s="47" t="inlineStr">
        <is>
          <t>SELL</t>
        </is>
      </c>
      <c r="C93" s="48" t="n">
        <v>46066</v>
      </c>
      <c r="D93" s="49" t="n">
        <v>300000</v>
      </c>
      <c r="E93" s="50" t="n">
        <v>861.9</v>
      </c>
      <c r="F93" s="50" t="n">
        <v>861.9</v>
      </c>
      <c r="G93" s="51" t="n">
        <v>-332.02</v>
      </c>
      <c r="H93" s="51" t="n">
        <v>-0.06</v>
      </c>
      <c r="I93" s="30" t="n">
        <v>1669.17</v>
      </c>
      <c r="J93" s="51" t="n">
        <v>533.99</v>
      </c>
      <c r="K93" s="52">
        <f>IF(AND(B93="SELL",E93&gt;0,J93&lt;&gt;""),J93/E93,0)</f>
        <v/>
      </c>
      <c r="L93" s="52" t="n">
        <v>0.591</v>
      </c>
      <c r="M93" s="50">
        <f>IF(AND(B93="SELL",L93&gt;0),D93*L93,0)</f>
        <v/>
      </c>
      <c r="N93" s="46" t="n"/>
      <c r="O93" s="53">
        <f>IF(AND(B93="SELL",G93&lt;&gt;0),Q93/ABS(G93),0)</f>
        <v/>
      </c>
      <c r="P93" s="53">
        <f>IF(AND(B93="SELL",D93&gt;0),R93/D93,0)</f>
        <v/>
      </c>
      <c r="Q93" s="54">
        <f>IF(AND(B93="SELL",D93&gt;0,E93&gt;0),(D93/E93)+G93,0)</f>
        <v/>
      </c>
      <c r="R93" s="55">
        <f>IF(B93="SELL",Q93*F93,0)</f>
        <v/>
      </c>
      <c r="S93" s="35">
        <f>S92+R93</f>
        <v/>
      </c>
    </row>
    <row r="94" ht="15.75" customHeight="1" s="94">
      <c r="A94" s="36" t="n">
        <v>93</v>
      </c>
      <c r="B94" s="37" t="inlineStr">
        <is>
          <t>SELL</t>
        </is>
      </c>
      <c r="C94" s="38" t="n">
        <v>46066</v>
      </c>
      <c r="D94" s="39" t="n">
        <v>300000</v>
      </c>
      <c r="E94" s="40" t="n">
        <v>861.9</v>
      </c>
      <c r="F94" s="40" t="n">
        <v>861.9</v>
      </c>
      <c r="G94" s="41" t="n">
        <v>-334.21</v>
      </c>
      <c r="H94" s="41" t="n">
        <v>-0.06</v>
      </c>
      <c r="I94" s="19" t="n">
        <v>1334.9</v>
      </c>
      <c r="J94" s="41" t="n">
        <v>530.5</v>
      </c>
      <c r="K94" s="42">
        <f>IF(AND(B94="SELL",E94&gt;0,J94&lt;&gt;""),J94/E94,0)</f>
        <v/>
      </c>
      <c r="L94" s="42" t="n">
        <v>0.591</v>
      </c>
      <c r="M94" s="40">
        <f>IF(AND(B94="SELL",L94&gt;0),D94*L94,0)</f>
        <v/>
      </c>
      <c r="N94" s="36" t="n"/>
      <c r="O94" s="43">
        <f>IF(AND(B94="SELL",G94&lt;&gt;0),Q94/ABS(G94),0)</f>
        <v/>
      </c>
      <c r="P94" s="43">
        <f>IF(AND(B94="SELL",D94&gt;0),R94/D94,0)</f>
        <v/>
      </c>
      <c r="Q94" s="44">
        <f>IF(AND(B94="SELL",D94&gt;0,E94&gt;0),(D94/E94)+G94,0)</f>
        <v/>
      </c>
      <c r="R94" s="45">
        <f>IF(B94="SELL",Q94*F94,0)</f>
        <v/>
      </c>
      <c r="S94" s="24">
        <f>S93+R94</f>
        <v/>
      </c>
    </row>
    <row r="95" ht="15.75" customHeight="1" s="94">
      <c r="A95" s="46" t="n">
        <v>94</v>
      </c>
      <c r="B95" s="47" t="inlineStr">
        <is>
          <t>SELL</t>
        </is>
      </c>
      <c r="C95" s="48" t="n">
        <v>46066</v>
      </c>
      <c r="D95" s="49" t="n">
        <v>50000</v>
      </c>
      <c r="E95" s="50" t="n">
        <v>861.9</v>
      </c>
      <c r="F95" s="50" t="n">
        <v>861.9</v>
      </c>
      <c r="G95" s="51" t="n">
        <v>-54.76</v>
      </c>
      <c r="H95" s="51" t="n">
        <v>-0.06</v>
      </c>
      <c r="I95" s="30" t="n">
        <v>1280.08</v>
      </c>
      <c r="J95" s="51" t="n">
        <v>539.5</v>
      </c>
      <c r="K95" s="52">
        <f>IF(AND(B95="SELL",E95&gt;0,J95&lt;&gt;""),J95/E95,0)</f>
        <v/>
      </c>
      <c r="L95" s="52" t="n">
        <v>0.58</v>
      </c>
      <c r="M95" s="50">
        <f>IF(AND(B95="SELL",L95&gt;0),D95*L95,0)</f>
        <v/>
      </c>
      <c r="N95" s="46" t="n"/>
      <c r="O95" s="53">
        <f>IF(AND(B95="SELL",G95&lt;&gt;0),Q95/ABS(G95),0)</f>
        <v/>
      </c>
      <c r="P95" s="53">
        <f>IF(AND(B95="SELL",D95&gt;0),R95/D95,0)</f>
        <v/>
      </c>
      <c r="Q95" s="54">
        <f>IF(AND(B95="SELL",D95&gt;0,E95&gt;0),(D95/E95)+G95,0)</f>
        <v/>
      </c>
      <c r="R95" s="55">
        <f>IF(B95="SELL",Q95*F95,0)</f>
        <v/>
      </c>
      <c r="S95" s="35">
        <f>S94+R95</f>
        <v/>
      </c>
    </row>
    <row r="96" ht="15.75" customHeight="1" s="94">
      <c r="A96" s="36" t="n">
        <v>95</v>
      </c>
      <c r="B96" s="37" t="inlineStr">
        <is>
          <t>SELL</t>
        </is>
      </c>
      <c r="C96" s="38" t="n">
        <v>46066</v>
      </c>
      <c r="D96" s="39" t="n">
        <v>40000</v>
      </c>
      <c r="E96" s="40" t="n">
        <v>861.9</v>
      </c>
      <c r="F96" s="40" t="n">
        <v>861.9</v>
      </c>
      <c r="G96" s="41" t="n">
        <v>-44.22</v>
      </c>
      <c r="H96" s="41" t="n">
        <v>-0.06</v>
      </c>
      <c r="I96" s="19" t="n">
        <v>1235.8</v>
      </c>
      <c r="J96" s="41" t="n">
        <v>525.606</v>
      </c>
      <c r="K96" s="42">
        <f>IF(AND(B96="SELL",E96&gt;0,J96&lt;&gt;""),J96/E96,0)</f>
        <v/>
      </c>
      <c r="L96" s="42" t="n">
        <v>0.58</v>
      </c>
      <c r="M96" s="40">
        <f>IF(AND(B96="SELL",L96&gt;0),D96*L96,0)</f>
        <v/>
      </c>
      <c r="N96" s="36" t="n"/>
      <c r="O96" s="43">
        <f>IF(AND(B96="SELL",G96&lt;&gt;0),Q96/ABS(G96),0)</f>
        <v/>
      </c>
      <c r="P96" s="43">
        <f>IF(AND(B96="SELL",D96&gt;0),R96/D96,0)</f>
        <v/>
      </c>
      <c r="Q96" s="44">
        <f>IF(AND(B96="SELL",D96&gt;0,E96&gt;0),(D96/E96)+G96,0)</f>
        <v/>
      </c>
      <c r="R96" s="45">
        <f>IF(B96="SELL",Q96*F96,0)</f>
        <v/>
      </c>
      <c r="S96" s="24">
        <f>S95+R96</f>
        <v/>
      </c>
    </row>
    <row r="97" ht="15.75" customHeight="1" s="94">
      <c r="A97" s="46" t="n">
        <v>96</v>
      </c>
      <c r="B97" s="47" t="inlineStr">
        <is>
          <t>SELL</t>
        </is>
      </c>
      <c r="C97" s="48" t="n">
        <v>46066</v>
      </c>
      <c r="D97" s="49" t="n">
        <v>101000</v>
      </c>
      <c r="E97" s="50" t="n">
        <v>861.9</v>
      </c>
      <c r="F97" s="50" t="n">
        <v>861.9</v>
      </c>
      <c r="G97" s="51" t="n">
        <v>-119.73</v>
      </c>
      <c r="H97" s="51" t="n">
        <v>-0.06</v>
      </c>
      <c r="I97" s="30" t="n">
        <v>1116.01</v>
      </c>
      <c r="J97" s="51" t="n">
        <v>529</v>
      </c>
      <c r="K97" s="52">
        <f>IF(AND(B97="SELL",E97&gt;0,J97&lt;&gt;""),J97/E97,0)</f>
        <v/>
      </c>
      <c r="L97" s="52" t="n">
        <v>0.58</v>
      </c>
      <c r="M97" s="50">
        <f>IF(AND(B97="SELL",L97&gt;0),D97*L97,0)</f>
        <v/>
      </c>
      <c r="N97" s="46" t="n"/>
      <c r="O97" s="53">
        <f>IF(AND(B97="SELL",G97&lt;&gt;0),Q97/ABS(G97),0)</f>
        <v/>
      </c>
      <c r="P97" s="53">
        <f>IF(AND(B97="SELL",D97&gt;0),R97/D97,0)</f>
        <v/>
      </c>
      <c r="Q97" s="54">
        <f>IF(AND(B97="SELL",D97&gt;0,E97&gt;0),(D97/E97)+G97,0)</f>
        <v/>
      </c>
      <c r="R97" s="55">
        <f>IF(B97="SELL",Q97*F97,0)</f>
        <v/>
      </c>
      <c r="S97" s="35">
        <f>S96+R97</f>
        <v/>
      </c>
    </row>
    <row r="98" ht="15.75" customHeight="1" s="94">
      <c r="A98" s="36" t="n">
        <v>97</v>
      </c>
      <c r="B98" s="37" t="inlineStr">
        <is>
          <t>SELL</t>
        </is>
      </c>
      <c r="C98" s="38" t="n">
        <v>46067</v>
      </c>
      <c r="D98" s="39" t="n">
        <v>60000</v>
      </c>
      <c r="E98" s="40" t="n">
        <v>861.9</v>
      </c>
      <c r="F98" s="40" t="n">
        <v>861.9</v>
      </c>
      <c r="G98" s="41" t="n">
        <v>-65.84999999999999</v>
      </c>
      <c r="H98" s="41" t="n">
        <v>-0.06</v>
      </c>
      <c r="I98" s="19" t="n">
        <v>1050.1</v>
      </c>
      <c r="J98" s="41" t="n">
        <v>528.4</v>
      </c>
      <c r="K98" s="42">
        <f>IF(AND(B98="SELL",E98&gt;0,J98&lt;&gt;""),J98/E98,0)</f>
        <v/>
      </c>
      <c r="L98" s="42" t="n">
        <v>0.58</v>
      </c>
      <c r="M98" s="40">
        <f>IF(AND(B98="SELL",L98&gt;0),D98*L98,0)</f>
        <v/>
      </c>
      <c r="N98" s="36" t="n"/>
      <c r="O98" s="43">
        <f>IF(AND(B98="SELL",G98&lt;&gt;0),Q98/ABS(G98),0)</f>
        <v/>
      </c>
      <c r="P98" s="43">
        <f>IF(AND(B98="SELL",D98&gt;0),R98/D98,0)</f>
        <v/>
      </c>
      <c r="Q98" s="44">
        <f>IF(AND(B98="SELL",D98&gt;0,E98&gt;0),(D98/E98)+G98,0)</f>
        <v/>
      </c>
      <c r="R98" s="45">
        <f>IF(B98="SELL",Q98*F98,0)</f>
        <v/>
      </c>
      <c r="S98" s="24">
        <f>S97+R98</f>
        <v/>
      </c>
    </row>
    <row r="99" ht="15.75" customHeight="1" s="94">
      <c r="A99" s="46" t="n">
        <v>98</v>
      </c>
      <c r="B99" s="47" t="inlineStr">
        <is>
          <t>SELL</t>
        </is>
      </c>
      <c r="C99" s="48" t="n">
        <v>46067</v>
      </c>
      <c r="D99" s="49" t="n">
        <v>10000</v>
      </c>
      <c r="E99" s="50" t="n">
        <v>861.9</v>
      </c>
      <c r="F99" s="50" t="n">
        <v>861.9</v>
      </c>
      <c r="G99" s="51" t="n">
        <v>-10.98</v>
      </c>
      <c r="H99" s="51" t="n">
        <v>-0.06</v>
      </c>
      <c r="I99" s="30" t="n">
        <v>1039.06</v>
      </c>
      <c r="J99" s="51" t="n">
        <v>528</v>
      </c>
      <c r="K99" s="52">
        <f>IF(AND(B99="SELL",E99&gt;0,J99&lt;&gt;""),J99/E99,0)</f>
        <v/>
      </c>
      <c r="L99" s="52" t="n">
        <v>0.58</v>
      </c>
      <c r="M99" s="50">
        <f>IF(AND(B99="SELL",L99&gt;0),D99*L99,0)</f>
        <v/>
      </c>
      <c r="N99" s="46" t="n"/>
      <c r="O99" s="53">
        <f>IF(AND(B99="SELL",G99&lt;&gt;0),Q99/ABS(G99),0)</f>
        <v/>
      </c>
      <c r="P99" s="53">
        <f>IF(AND(B99="SELL",D99&gt;0),R99/D99,0)</f>
        <v/>
      </c>
      <c r="Q99" s="54">
        <f>IF(AND(B99="SELL",D99&gt;0,E99&gt;0),(D99/E99)+G99,0)</f>
        <v/>
      </c>
      <c r="R99" s="55">
        <f>IF(B99="SELL",Q99*F99,0)</f>
        <v/>
      </c>
      <c r="S99" s="35">
        <f>S98+R99</f>
        <v/>
      </c>
    </row>
    <row r="100" ht="15.75" customHeight="1" s="94">
      <c r="A100" s="36" t="n">
        <v>99</v>
      </c>
      <c r="B100" s="37" t="inlineStr">
        <is>
          <t>SELL</t>
        </is>
      </c>
      <c r="C100" s="38" t="n">
        <v>46067</v>
      </c>
      <c r="D100" s="39" t="n">
        <v>20000</v>
      </c>
      <c r="E100" s="40" t="n">
        <v>861.9</v>
      </c>
      <c r="F100" s="40" t="n">
        <v>861.9</v>
      </c>
      <c r="G100" s="41" t="n">
        <v>-22.12</v>
      </c>
      <c r="H100" s="41" t="n">
        <v>-0.06</v>
      </c>
      <c r="I100" s="19" t="n">
        <v>1016.88</v>
      </c>
      <c r="J100" s="41" t="n">
        <v>524.3</v>
      </c>
      <c r="K100" s="42">
        <f>IF(AND(B100="SELL",E100&gt;0,J100&lt;&gt;""),J100/E100,0)</f>
        <v/>
      </c>
      <c r="L100" s="42" t="n">
        <v>0.58</v>
      </c>
      <c r="M100" s="40">
        <f>IF(AND(B100="SELL",L100&gt;0),D100*L100,0)</f>
        <v/>
      </c>
      <c r="N100" s="36" t="n"/>
      <c r="O100" s="43">
        <f>IF(AND(B100="SELL",G100&lt;&gt;0),Q100/ABS(G100),0)</f>
        <v/>
      </c>
      <c r="P100" s="43">
        <f>IF(AND(B100="SELL",D100&gt;0),R100/D100,0)</f>
        <v/>
      </c>
      <c r="Q100" s="44">
        <f>IF(AND(B100="SELL",D100&gt;0,E100&gt;0),(D100/E100)+G100,0)</f>
        <v/>
      </c>
      <c r="R100" s="45">
        <f>IF(B100="SELL",Q100*F100,0)</f>
        <v/>
      </c>
      <c r="S100" s="24">
        <f>S99+R100</f>
        <v/>
      </c>
    </row>
    <row r="101" ht="15.75" customHeight="1" s="94">
      <c r="A101" s="46" t="n">
        <v>100</v>
      </c>
      <c r="B101" s="47" t="inlineStr">
        <is>
          <t>SELL</t>
        </is>
      </c>
      <c r="C101" s="48" t="n">
        <v>46067</v>
      </c>
      <c r="D101" s="49" t="n">
        <v>10000</v>
      </c>
      <c r="E101" s="50" t="n">
        <v>861.9</v>
      </c>
      <c r="F101" s="50" t="n">
        <v>861.9</v>
      </c>
      <c r="G101" s="51" t="n">
        <v>-11.08</v>
      </c>
      <c r="H101" s="51" t="n">
        <v>-0.06</v>
      </c>
      <c r="I101" s="30" t="n">
        <v>1005.74</v>
      </c>
      <c r="J101" s="51" t="n">
        <v>523.01</v>
      </c>
      <c r="K101" s="52">
        <f>IF(AND(B101="SELL",E101&gt;0,J101&lt;&gt;""),J101/E101,0)</f>
        <v/>
      </c>
      <c r="L101" s="52" t="n">
        <v>0.58</v>
      </c>
      <c r="M101" s="50">
        <f>IF(AND(B101="SELL",L101&gt;0),D101*L101,0)</f>
        <v/>
      </c>
      <c r="N101" s="46" t="n"/>
      <c r="O101" s="53">
        <f>IF(AND(B101="SELL",G101&lt;&gt;0),Q101/ABS(G101),0)</f>
        <v/>
      </c>
      <c r="P101" s="53">
        <f>IF(AND(B101="SELL",D101&gt;0),R101/D101,0)</f>
        <v/>
      </c>
      <c r="Q101" s="54">
        <f>IF(AND(B101="SELL",D101&gt;0,E101&gt;0),(D101/E101)+G101,0)</f>
        <v/>
      </c>
      <c r="R101" s="55">
        <f>IF(B101="SELL",Q101*F101,0)</f>
        <v/>
      </c>
      <c r="S101" s="35">
        <f>S100+R101</f>
        <v/>
      </c>
    </row>
    <row r="102" ht="15.75" customHeight="1" s="94">
      <c r="A102" s="36" t="n">
        <v>101</v>
      </c>
      <c r="B102" s="37" t="inlineStr">
        <is>
          <t>SELL</t>
        </is>
      </c>
      <c r="C102" s="38" t="n">
        <v>46068</v>
      </c>
      <c r="D102" s="39" t="n">
        <v>100000</v>
      </c>
      <c r="E102" s="40" t="n">
        <v>861.9</v>
      </c>
      <c r="F102" s="40" t="n">
        <v>861.9</v>
      </c>
      <c r="G102" s="41" t="n">
        <v>-109.26</v>
      </c>
      <c r="H102" s="41" t="n">
        <v>-0.06</v>
      </c>
      <c r="I102" s="19" t="n">
        <v>896.420000000003</v>
      </c>
      <c r="J102" s="41" t="n">
        <v>535.4</v>
      </c>
      <c r="K102" s="42">
        <f>IF(AND(B102="SELL",E102&gt;0,J102&lt;&gt;""),J102/E102,0)</f>
        <v/>
      </c>
      <c r="L102" s="42" t="n">
        <v>0.585</v>
      </c>
      <c r="M102" s="40">
        <f>IF(AND(B102="SELL",L102&gt;0),D102*L102,0)</f>
        <v/>
      </c>
      <c r="N102" s="36" t="n"/>
      <c r="O102" s="43">
        <f>IF(AND(B102="SELL",G102&lt;&gt;0),Q102/ABS(G102),0)</f>
        <v/>
      </c>
      <c r="P102" s="43">
        <f>IF(AND(B102="SELL",D102&gt;0),R102/D102,0)</f>
        <v/>
      </c>
      <c r="Q102" s="44">
        <f>IF(AND(B102="SELL",D102&gt;0,E102&gt;0),(D102/E102)+G102,0)</f>
        <v/>
      </c>
      <c r="R102" s="45">
        <f>IF(B102="SELL",Q102*F102,0)</f>
        <v/>
      </c>
      <c r="S102" s="24">
        <f>S101+R102</f>
        <v/>
      </c>
    </row>
    <row r="103" ht="15.75" customHeight="1" s="94">
      <c r="A103" s="46" t="n">
        <v>102</v>
      </c>
      <c r="B103" s="47" t="inlineStr">
        <is>
          <t>SELL</t>
        </is>
      </c>
      <c r="C103" s="48" t="n">
        <v>46068</v>
      </c>
      <c r="D103" s="49" t="n">
        <v>43000</v>
      </c>
      <c r="E103" s="50" t="n">
        <v>861.9</v>
      </c>
      <c r="F103" s="50" t="n">
        <v>861.9</v>
      </c>
      <c r="G103" s="51" t="n">
        <v>-46.93</v>
      </c>
      <c r="H103" s="51" t="n">
        <v>-0.06</v>
      </c>
      <c r="I103" s="30" t="n">
        <v>849.430000000003</v>
      </c>
      <c r="J103" s="51" t="n">
        <v>536</v>
      </c>
      <c r="K103" s="52">
        <f>IF(AND(B103="SELL",E103&gt;0,J103&lt;&gt;""),J103/E103,0)</f>
        <v/>
      </c>
      <c r="L103" s="52" t="n">
        <v>0.585</v>
      </c>
      <c r="M103" s="50">
        <f>IF(AND(B103="SELL",L103&gt;0),D103*L103,0)</f>
        <v/>
      </c>
      <c r="N103" s="46" t="n"/>
      <c r="O103" s="53">
        <f>IF(AND(B103="SELL",G103&lt;&gt;0),Q103/ABS(G103),0)</f>
        <v/>
      </c>
      <c r="P103" s="53">
        <f>IF(AND(B103="SELL",D103&gt;0),R103/D103,0)</f>
        <v/>
      </c>
      <c r="Q103" s="54">
        <f>IF(AND(B103="SELL",D103&gt;0,E103&gt;0),(D103/E103)+G103,0)</f>
        <v/>
      </c>
      <c r="R103" s="55">
        <f>IF(B103="SELL",Q103*F103,0)</f>
        <v/>
      </c>
      <c r="S103" s="35">
        <f>S102+R103</f>
        <v/>
      </c>
    </row>
    <row r="104" ht="15.75" customHeight="1" s="94">
      <c r="A104" s="36" t="n">
        <v>103</v>
      </c>
      <c r="B104" s="37" t="inlineStr">
        <is>
          <t>SELL</t>
        </is>
      </c>
      <c r="C104" s="38" t="n">
        <v>46069</v>
      </c>
      <c r="D104" s="39" t="n">
        <v>15000</v>
      </c>
      <c r="E104" s="40" t="n">
        <v>861.9</v>
      </c>
      <c r="F104" s="40" t="n">
        <v>861.9</v>
      </c>
      <c r="G104" s="41" t="n">
        <v>-16.39</v>
      </c>
      <c r="H104" s="41" t="n">
        <v>-0.06</v>
      </c>
      <c r="I104" s="19" t="n">
        <v>832.980000000003</v>
      </c>
      <c r="J104" s="41" t="n">
        <v>530.505</v>
      </c>
      <c r="K104" s="42">
        <f>IF(AND(B104="SELL",E104&gt;0,J104&lt;&gt;""),J104/E104,0)</f>
        <v/>
      </c>
      <c r="L104" s="42" t="n">
        <v>0.58</v>
      </c>
      <c r="M104" s="40">
        <f>IF(AND(B104="SELL",L104&gt;0),D104*L104,0)</f>
        <v/>
      </c>
      <c r="N104" s="36" t="n"/>
      <c r="O104" s="43">
        <f>IF(AND(B104="SELL",G104&lt;&gt;0),Q104/ABS(G104),0)</f>
        <v/>
      </c>
      <c r="P104" s="43">
        <f>IF(AND(B104="SELL",D104&gt;0),R104/D104,0)</f>
        <v/>
      </c>
      <c r="Q104" s="44">
        <f>IF(AND(B104="SELL",D104&gt;0,E104&gt;0),(D104/E104)+G104,0)</f>
        <v/>
      </c>
      <c r="R104" s="45">
        <f>IF(B104="SELL",Q104*F104,0)</f>
        <v/>
      </c>
      <c r="S104" s="24">
        <f>S103+R104</f>
        <v/>
      </c>
    </row>
    <row r="105" ht="15.75" customHeight="1" s="94">
      <c r="A105" s="46" t="n">
        <v>104</v>
      </c>
      <c r="B105" s="47" t="inlineStr">
        <is>
          <t>SELL</t>
        </is>
      </c>
      <c r="C105" s="48" t="n">
        <v>46069</v>
      </c>
      <c r="D105" s="49" t="n">
        <v>50000</v>
      </c>
      <c r="E105" s="50" t="n">
        <v>861.9</v>
      </c>
      <c r="F105" s="50" t="n">
        <v>861.9</v>
      </c>
      <c r="G105" s="51" t="n">
        <v>-54.46</v>
      </c>
      <c r="H105" s="51" t="n">
        <v>-0.06</v>
      </c>
      <c r="I105" s="30" t="n">
        <v>778.460000000003</v>
      </c>
      <c r="J105" s="51" t="n">
        <v>532.45</v>
      </c>
      <c r="K105" s="52">
        <f>IF(AND(B105="SELL",E105&gt;0,J105&lt;&gt;""),J105/E105,0)</f>
        <v/>
      </c>
      <c r="L105" s="52" t="n">
        <v>0.58</v>
      </c>
      <c r="M105" s="50">
        <f>IF(AND(B105="SELL",L105&gt;0),D105*L105,0)</f>
        <v/>
      </c>
      <c r="N105" s="46" t="n"/>
      <c r="O105" s="53">
        <f>IF(AND(B105="SELL",G105&lt;&gt;0),Q105/ABS(G105),0)</f>
        <v/>
      </c>
      <c r="P105" s="53">
        <f>IF(AND(B105="SELL",D105&gt;0),R105/D105,0)</f>
        <v/>
      </c>
      <c r="Q105" s="54">
        <f>IF(AND(B105="SELL",D105&gt;0,E105&gt;0),(D105/E105)+G105,0)</f>
        <v/>
      </c>
      <c r="R105" s="55">
        <f>IF(B105="SELL",Q105*F105,0)</f>
        <v/>
      </c>
      <c r="S105" s="35">
        <f>S104+R105</f>
        <v/>
      </c>
    </row>
    <row r="106" ht="15.75" customHeight="1" s="94">
      <c r="A106" s="36" t="n">
        <v>105</v>
      </c>
      <c r="B106" s="37" t="inlineStr">
        <is>
          <t>SELL</t>
        </is>
      </c>
      <c r="C106" s="38" t="n">
        <v>46069</v>
      </c>
      <c r="D106" s="39" t="n">
        <v>10000</v>
      </c>
      <c r="E106" s="40" t="n">
        <v>861.9</v>
      </c>
      <c r="F106" s="40" t="n">
        <v>861.9</v>
      </c>
      <c r="G106" s="41" t="n">
        <v>-10.93</v>
      </c>
      <c r="H106" s="41" t="n">
        <v>-0.06</v>
      </c>
      <c r="I106" s="19" t="n">
        <v>767.470000000003</v>
      </c>
      <c r="J106" s="41" t="n">
        <v>530.511</v>
      </c>
      <c r="K106" s="42">
        <f>IF(AND(B106="SELL",E106&gt;0,J106&lt;&gt;""),J106/E106,0)</f>
        <v/>
      </c>
      <c r="L106" s="42" t="n">
        <v>0.58</v>
      </c>
      <c r="M106" s="40">
        <f>IF(AND(B106="SELL",L106&gt;0),D106*L106,0)</f>
        <v/>
      </c>
      <c r="N106" s="36" t="n"/>
      <c r="O106" s="43">
        <f>IF(AND(B106="SELL",G106&lt;&gt;0),Q106/ABS(G106),0)</f>
        <v/>
      </c>
      <c r="P106" s="43">
        <f>IF(AND(B106="SELL",D106&gt;0),R106/D106,0)</f>
        <v/>
      </c>
      <c r="Q106" s="44">
        <f>IF(AND(B106="SELL",D106&gt;0,E106&gt;0),(D106/E106)+G106,0)</f>
        <v/>
      </c>
      <c r="R106" s="45">
        <f>IF(B106="SELL",Q106*F106,0)</f>
        <v/>
      </c>
      <c r="S106" s="24">
        <f>S105+R106</f>
        <v/>
      </c>
    </row>
    <row r="107" ht="15.75" customHeight="1" s="94">
      <c r="A107" s="46" t="n">
        <v>106</v>
      </c>
      <c r="B107" s="47" t="inlineStr">
        <is>
          <t>SELL</t>
        </is>
      </c>
      <c r="C107" s="48" t="n">
        <v>46069</v>
      </c>
      <c r="D107" s="49" t="n">
        <v>30000</v>
      </c>
      <c r="E107" s="50" t="n">
        <v>861.9</v>
      </c>
      <c r="F107" s="50" t="n">
        <v>861.9</v>
      </c>
      <c r="G107" s="51" t="n">
        <v>-34.15</v>
      </c>
      <c r="H107" s="51" t="n">
        <v>-0.06</v>
      </c>
      <c r="I107" s="30" t="n">
        <v>733.2600000000029</v>
      </c>
      <c r="J107" s="51" t="n">
        <v>521.1</v>
      </c>
      <c r="K107" s="52">
        <f>IF(AND(B107="SELL",E107&gt;0,J107&lt;&gt;""),J107/E107,0)</f>
        <v/>
      </c>
      <c r="L107" s="52" t="n">
        <v>0.58</v>
      </c>
      <c r="M107" s="50">
        <f>IF(AND(B107="SELL",L107&gt;0),D107*L107,0)</f>
        <v/>
      </c>
      <c r="N107" s="46" t="n"/>
      <c r="O107" s="53">
        <f>IF(AND(B107="SELL",G107&lt;&gt;0),Q107/ABS(G107),0)</f>
        <v/>
      </c>
      <c r="P107" s="53">
        <f>IF(AND(B107="SELL",D107&gt;0),R107/D107,0)</f>
        <v/>
      </c>
      <c r="Q107" s="54">
        <f>IF(AND(B107="SELL",D107&gt;0,E107&gt;0),(D107/E107)+G107,0)</f>
        <v/>
      </c>
      <c r="R107" s="55">
        <f>IF(B107="SELL",Q107*F107,0)</f>
        <v/>
      </c>
      <c r="S107" s="35">
        <f>S106+R107</f>
        <v/>
      </c>
    </row>
    <row r="108" ht="15.75" customHeight="1" s="94">
      <c r="A108" s="36" t="n">
        <v>107</v>
      </c>
      <c r="B108" s="37" t="inlineStr">
        <is>
          <t>SELL</t>
        </is>
      </c>
      <c r="C108" s="38" t="n">
        <v>46069</v>
      </c>
      <c r="D108" s="39" t="n">
        <v>75000</v>
      </c>
      <c r="E108" s="40" t="n">
        <v>861.9</v>
      </c>
      <c r="F108" s="40" t="n">
        <v>861.9</v>
      </c>
      <c r="G108" s="41" t="n">
        <v>-81.73</v>
      </c>
      <c r="H108" s="41" t="n">
        <v>-0.06</v>
      </c>
      <c r="I108" s="19" t="n">
        <v>651.470000000003</v>
      </c>
      <c r="J108" s="41" t="n">
        <v>532.1799999999999</v>
      </c>
      <c r="K108" s="42">
        <f>IF(AND(B108="SELL",E108&gt;0,J108&lt;&gt;""),J108/E108,0)</f>
        <v/>
      </c>
      <c r="L108" s="42" t="n">
        <v>0.58</v>
      </c>
      <c r="M108" s="40">
        <f>IF(AND(B108="SELL",L108&gt;0),D108*L108,0)</f>
        <v/>
      </c>
      <c r="N108" s="36" t="n"/>
      <c r="O108" s="43">
        <f>IF(AND(B108="SELL",G108&lt;&gt;0),Q108/ABS(G108),0)</f>
        <v/>
      </c>
      <c r="P108" s="43">
        <f>IF(AND(B108="SELL",D108&gt;0),R108/D108,0)</f>
        <v/>
      </c>
      <c r="Q108" s="44">
        <f>IF(AND(B108="SELL",D108&gt;0,E108&gt;0),(D108/E108)+G108,0)</f>
        <v/>
      </c>
      <c r="R108" s="45">
        <f>IF(B108="SELL",Q108*F108,0)</f>
        <v/>
      </c>
      <c r="S108" s="24">
        <f>S107+R108</f>
        <v/>
      </c>
    </row>
    <row r="109" ht="15.75" customHeight="1" s="94">
      <c r="A109" s="46" t="n">
        <v>108</v>
      </c>
      <c r="B109" s="47" t="inlineStr">
        <is>
          <t>SELL</t>
        </is>
      </c>
      <c r="C109" s="48" t="n">
        <v>46069</v>
      </c>
      <c r="D109" s="49" t="n">
        <v>10000</v>
      </c>
      <c r="E109" s="50" t="n">
        <v>861.9</v>
      </c>
      <c r="F109" s="50" t="n">
        <v>861.9</v>
      </c>
      <c r="G109" s="51" t="n">
        <v>-10.94</v>
      </c>
      <c r="H109" s="51" t="n">
        <v>-0.06</v>
      </c>
      <c r="I109" s="30" t="n">
        <v>640.470000000003</v>
      </c>
      <c r="J109" s="51" t="n">
        <v>530.005</v>
      </c>
      <c r="K109" s="52">
        <f>IF(AND(B109="SELL",E109&gt;0,J109&lt;&gt;""),J109/E109,0)</f>
        <v/>
      </c>
      <c r="L109" s="52" t="n">
        <v>0.58</v>
      </c>
      <c r="M109" s="50">
        <f>IF(AND(B109="SELL",L109&gt;0),D109*L109,0)</f>
        <v/>
      </c>
      <c r="N109" s="46" t="n"/>
      <c r="O109" s="53">
        <f>IF(AND(B109="SELL",G109&lt;&gt;0),Q109/ABS(G109),0)</f>
        <v/>
      </c>
      <c r="P109" s="53">
        <f>IF(AND(B109="SELL",D109&gt;0),R109/D109,0)</f>
        <v/>
      </c>
      <c r="Q109" s="54">
        <f>IF(AND(B109="SELL",D109&gt;0,E109&gt;0),(D109/E109)+G109,0)</f>
        <v/>
      </c>
      <c r="R109" s="55">
        <f>IF(B109="SELL",Q109*F109,0)</f>
        <v/>
      </c>
      <c r="S109" s="35">
        <f>S108+R109</f>
        <v/>
      </c>
    </row>
    <row r="110" ht="15.75" customHeight="1" s="94">
      <c r="A110" s="36" t="n">
        <v>109</v>
      </c>
      <c r="B110" s="37" t="inlineStr">
        <is>
          <t>SELL</t>
        </is>
      </c>
      <c r="C110" s="38" t="n">
        <v>46069</v>
      </c>
      <c r="D110" s="39" t="n">
        <v>136700</v>
      </c>
      <c r="E110" s="40" t="n">
        <v>861.9</v>
      </c>
      <c r="F110" s="40" t="n">
        <v>861.9</v>
      </c>
      <c r="G110" s="41" t="n">
        <v>-148.1</v>
      </c>
      <c r="H110" s="41" t="n">
        <v>-0.06</v>
      </c>
      <c r="I110" s="19" t="n">
        <v>492.310000000003</v>
      </c>
      <c r="J110" s="41" t="n">
        <v>535.255</v>
      </c>
      <c r="K110" s="42">
        <f>IF(AND(B110="SELL",E110&gt;0,J110&lt;&gt;""),J110/E110,0)</f>
        <v/>
      </c>
      <c r="L110" s="42" t="n">
        <v>0.58</v>
      </c>
      <c r="M110" s="40">
        <f>IF(AND(B110="SELL",L110&gt;0),D110*L110,0)</f>
        <v/>
      </c>
      <c r="N110" s="36" t="n"/>
      <c r="O110" s="43">
        <f>IF(AND(B110="SELL",G110&lt;&gt;0),Q110/ABS(G110),0)</f>
        <v/>
      </c>
      <c r="P110" s="43">
        <f>IF(AND(B110="SELL",D110&gt;0),R110/D110,0)</f>
        <v/>
      </c>
      <c r="Q110" s="44">
        <f>IF(AND(B110="SELL",D110&gt;0,E110&gt;0),(D110/E110)+G110,0)</f>
        <v/>
      </c>
      <c r="R110" s="45">
        <f>IF(B110="SELL",Q110*F110,0)</f>
        <v/>
      </c>
      <c r="S110" s="24">
        <f>S109+R110</f>
        <v/>
      </c>
    </row>
    <row r="111" ht="15.75" customHeight="1" s="94">
      <c r="A111" s="46" t="n">
        <v>110</v>
      </c>
      <c r="B111" s="47" t="inlineStr">
        <is>
          <t>SELL</t>
        </is>
      </c>
      <c r="C111" s="48" t="n">
        <v>46069</v>
      </c>
      <c r="D111" s="49" t="n">
        <v>20000</v>
      </c>
      <c r="E111" s="50" t="n">
        <v>861.9</v>
      </c>
      <c r="F111" s="50" t="n">
        <v>861.9</v>
      </c>
      <c r="G111" s="51" t="n">
        <v>-21.96</v>
      </c>
      <c r="H111" s="51" t="n">
        <v>-0.06</v>
      </c>
      <c r="I111" s="30" t="n">
        <v>470.290000000003</v>
      </c>
      <c r="J111" s="51" t="n">
        <v>528.1</v>
      </c>
      <c r="K111" s="52">
        <f>IF(AND(B111="SELL",E111&gt;0,J111&lt;&gt;""),J111/E111,0)</f>
        <v/>
      </c>
      <c r="L111" s="52" t="n">
        <v>0.58</v>
      </c>
      <c r="M111" s="50">
        <f>IF(AND(B111="SELL",L111&gt;0),D111*L111,0)</f>
        <v/>
      </c>
      <c r="N111" s="46" t="n"/>
      <c r="O111" s="53">
        <f>IF(AND(B111="SELL",G111&lt;&gt;0),Q111/ABS(G111),0)</f>
        <v/>
      </c>
      <c r="P111" s="53">
        <f>IF(AND(B111="SELL",D111&gt;0),R111/D111,0)</f>
        <v/>
      </c>
      <c r="Q111" s="54">
        <f>IF(AND(B111="SELL",D111&gt;0,E111&gt;0),(D111/E111)+G111,0)</f>
        <v/>
      </c>
      <c r="R111" s="55">
        <f>IF(B111="SELL",Q111*F111,0)</f>
        <v/>
      </c>
      <c r="S111" s="35">
        <f>S110+R111</f>
        <v/>
      </c>
    </row>
    <row r="112" ht="15.75" customHeight="1" s="94">
      <c r="A112" s="36" t="n">
        <v>111</v>
      </c>
      <c r="B112" s="37" t="inlineStr">
        <is>
          <t>SELL</t>
        </is>
      </c>
      <c r="C112" s="38" t="n">
        <v>46069</v>
      </c>
      <c r="D112" s="39" t="n">
        <v>33800</v>
      </c>
      <c r="E112" s="40" t="n">
        <v>861.9</v>
      </c>
      <c r="F112" s="40" t="n">
        <v>861.9</v>
      </c>
      <c r="G112" s="41" t="n">
        <v>-36.95</v>
      </c>
      <c r="H112" s="41" t="n">
        <v>-0.06</v>
      </c>
      <c r="I112" s="19" t="n">
        <v>433.280000000003</v>
      </c>
      <c r="J112" s="41" t="n">
        <v>530.421</v>
      </c>
      <c r="K112" s="42">
        <f>IF(AND(B112="SELL",E112&gt;0,J112&lt;&gt;""),J112/E112,0)</f>
        <v/>
      </c>
      <c r="L112" s="42" t="n">
        <v>0.58</v>
      </c>
      <c r="M112" s="40">
        <f>IF(AND(B112="SELL",L112&gt;0),D112*L112,0)</f>
        <v/>
      </c>
      <c r="N112" s="36" t="n"/>
      <c r="O112" s="43">
        <f>IF(AND(B112="SELL",G112&lt;&gt;0),Q112/ABS(G112),0)</f>
        <v/>
      </c>
      <c r="P112" s="43">
        <f>IF(AND(B112="SELL",D112&gt;0),R112/D112,0)</f>
        <v/>
      </c>
      <c r="Q112" s="44">
        <f>IF(AND(B112="SELL",D112&gt;0,E112&gt;0),(D112/E112)+G112,0)</f>
        <v/>
      </c>
      <c r="R112" s="45">
        <f>IF(B112="SELL",Q112*F112,0)</f>
        <v/>
      </c>
      <c r="S112" s="24">
        <f>S111+R112</f>
        <v/>
      </c>
    </row>
    <row r="113" ht="15.75" customHeight="1" s="94">
      <c r="A113" s="46" t="n">
        <v>112</v>
      </c>
      <c r="B113" s="47" t="inlineStr">
        <is>
          <t>SELL</t>
        </is>
      </c>
      <c r="C113" s="48" t="n">
        <v>46070</v>
      </c>
      <c r="D113" s="49" t="n">
        <v>40000</v>
      </c>
      <c r="E113" s="50" t="n">
        <v>861.9</v>
      </c>
      <c r="F113" s="50" t="n">
        <v>861.9</v>
      </c>
      <c r="G113" s="51" t="n">
        <v>-43.64</v>
      </c>
      <c r="H113" s="51" t="n">
        <v>-0.06</v>
      </c>
      <c r="I113" s="30" t="n">
        <v>389.580000000003</v>
      </c>
      <c r="J113" s="51" t="n">
        <v>531.601</v>
      </c>
      <c r="K113" s="52">
        <f>IF(AND(B113="SELL",E113&gt;0,J113&lt;&gt;""),J113/E113,0)</f>
        <v/>
      </c>
      <c r="L113" s="52" t="n">
        <v>0.58</v>
      </c>
      <c r="M113" s="50">
        <f>IF(AND(B113="SELL",L113&gt;0),D113*L113,0)</f>
        <v/>
      </c>
      <c r="N113" s="46" t="n"/>
      <c r="O113" s="53">
        <f>IF(AND(B113="SELL",G113&lt;&gt;0),Q113/ABS(G113),0)</f>
        <v/>
      </c>
      <c r="P113" s="53">
        <f>IF(AND(B113="SELL",D113&gt;0),R113/D113,0)</f>
        <v/>
      </c>
      <c r="Q113" s="54">
        <f>IF(AND(B113="SELL",D113&gt;0,E113&gt;0),(D113/E113)+G113,0)</f>
        <v/>
      </c>
      <c r="R113" s="55">
        <f>IF(B113="SELL",Q113*F113,0)</f>
        <v/>
      </c>
      <c r="S113" s="35">
        <f>S112+R113</f>
        <v/>
      </c>
    </row>
    <row r="114" ht="15.75" customHeight="1" s="94">
      <c r="A114" s="36" t="n">
        <v>113</v>
      </c>
      <c r="B114" s="37" t="inlineStr">
        <is>
          <t>SELL</t>
        </is>
      </c>
      <c r="C114" s="38" t="n">
        <v>46070</v>
      </c>
      <c r="D114" s="39" t="n">
        <v>29100</v>
      </c>
      <c r="E114" s="40" t="n">
        <v>861.9</v>
      </c>
      <c r="F114" s="40" t="n">
        <v>861.9</v>
      </c>
      <c r="G114" s="41" t="n">
        <v>-31.6</v>
      </c>
      <c r="H114" s="41" t="n">
        <v>-0.06</v>
      </c>
      <c r="I114" s="19" t="n">
        <v>357.920000000003</v>
      </c>
      <c r="J114" s="41" t="n">
        <v>532.55</v>
      </c>
      <c r="K114" s="42">
        <f>IF(AND(B114="SELL",E114&gt;0,J114&lt;&gt;""),J114/E114,0)</f>
        <v/>
      </c>
      <c r="L114" s="42" t="n">
        <v>0.58</v>
      </c>
      <c r="M114" s="40">
        <f>IF(AND(B114="SELL",L114&gt;0),D114*L114,0)</f>
        <v/>
      </c>
      <c r="N114" s="36" t="n"/>
      <c r="O114" s="43">
        <f>IF(AND(B114="SELL",G114&lt;&gt;0),Q114/ABS(G114),0)</f>
        <v/>
      </c>
      <c r="P114" s="43">
        <f>IF(AND(B114="SELL",D114&gt;0),R114/D114,0)</f>
        <v/>
      </c>
      <c r="Q114" s="44">
        <f>IF(AND(B114="SELL",D114&gt;0,E114&gt;0),(D114/E114)+G114,0)</f>
        <v/>
      </c>
      <c r="R114" s="45">
        <f>IF(B114="SELL",Q114*F114,0)</f>
        <v/>
      </c>
      <c r="S114" s="24">
        <f>S113+R114</f>
        <v/>
      </c>
    </row>
    <row r="115" ht="15.75" customHeight="1" s="94">
      <c r="A115" s="46" t="n">
        <v>114</v>
      </c>
      <c r="B115" s="47" t="inlineStr">
        <is>
          <t>SELL</t>
        </is>
      </c>
      <c r="C115" s="48" t="n">
        <v>46070</v>
      </c>
      <c r="D115" s="49" t="n">
        <v>50000</v>
      </c>
      <c r="E115" s="50" t="n">
        <v>861.9</v>
      </c>
      <c r="F115" s="50" t="n">
        <v>861.9</v>
      </c>
      <c r="G115" s="51" t="n">
        <v>-53.6</v>
      </c>
      <c r="H115" s="51" t="n">
        <v>-0.06</v>
      </c>
      <c r="I115" s="30" t="n">
        <v>304.260000000003</v>
      </c>
      <c r="J115" s="51" t="n">
        <v>531.7</v>
      </c>
      <c r="K115" s="52">
        <f>IF(AND(B115="SELL",E115&gt;0,J115&lt;&gt;""),J115/E115,0)</f>
        <v/>
      </c>
      <c r="L115" s="52" t="n">
        <v>0.57</v>
      </c>
      <c r="M115" s="50">
        <f>IF(AND(B115="SELL",L115&gt;0),D115*L115,0)</f>
        <v/>
      </c>
      <c r="N115" s="46" t="n"/>
      <c r="O115" s="53">
        <f>IF(AND(B115="SELL",G115&lt;&gt;0),Q115/ABS(G115),0)</f>
        <v/>
      </c>
      <c r="P115" s="53">
        <f>IF(AND(B115="SELL",D115&gt;0),R115/D115,0)</f>
        <v/>
      </c>
      <c r="Q115" s="54">
        <f>IF(AND(B115="SELL",D115&gt;0,E115&gt;0),(D115/E115)+G115,0)</f>
        <v/>
      </c>
      <c r="R115" s="55">
        <f>IF(B115="SELL",Q115*F115,0)</f>
        <v/>
      </c>
      <c r="S115" s="35">
        <f>S114+R115</f>
        <v/>
      </c>
    </row>
    <row r="116" ht="15.75" customHeight="1" s="94">
      <c r="A116" s="36" t="n">
        <v>115</v>
      </c>
      <c r="B116" s="37" t="inlineStr">
        <is>
          <t>SELL</t>
        </is>
      </c>
      <c r="C116" s="38" t="n">
        <v>46070</v>
      </c>
      <c r="D116" s="39" t="n">
        <v>10000</v>
      </c>
      <c r="E116" s="40" t="n">
        <v>861.9</v>
      </c>
      <c r="F116" s="40" t="n">
        <v>861.9</v>
      </c>
      <c r="G116" s="41" t="n">
        <v>-10.78</v>
      </c>
      <c r="H116" s="41" t="n">
        <v>-0.06</v>
      </c>
      <c r="I116" s="19" t="n">
        <v>293.420000000003</v>
      </c>
      <c r="J116" s="41" t="n">
        <v>531.7</v>
      </c>
      <c r="K116" s="42">
        <f>IF(AND(B116="SELL",E116&gt;0,J116&lt;&gt;""),J116/E116,0)</f>
        <v/>
      </c>
      <c r="L116" s="42" t="n">
        <v>0.57</v>
      </c>
      <c r="M116" s="40">
        <f>IF(AND(B116="SELL",L116&gt;0),D116*L116,0)</f>
        <v/>
      </c>
      <c r="N116" s="36" t="n"/>
      <c r="O116" s="43">
        <f>IF(AND(B116="SELL",G116&lt;&gt;0),Q116/ABS(G116),0)</f>
        <v/>
      </c>
      <c r="P116" s="43">
        <f>IF(AND(B116="SELL",D116&gt;0),R116/D116,0)</f>
        <v/>
      </c>
      <c r="Q116" s="44">
        <f>IF(AND(B116="SELL",D116&gt;0,E116&gt;0),(D116/E116)+G116,0)</f>
        <v/>
      </c>
      <c r="R116" s="45">
        <f>IF(B116="SELL",Q116*F116,0)</f>
        <v/>
      </c>
      <c r="S116" s="24">
        <f>S115+R116</f>
        <v/>
      </c>
    </row>
    <row r="117" ht="15.75" customHeight="1" s="94">
      <c r="A117" s="46" t="n">
        <v>116</v>
      </c>
      <c r="B117" s="47" t="inlineStr">
        <is>
          <t>SELL</t>
        </is>
      </c>
      <c r="C117" s="48" t="n">
        <v>46070</v>
      </c>
      <c r="D117" s="49" t="n">
        <v>6900</v>
      </c>
      <c r="E117" s="50" t="n">
        <v>861.9</v>
      </c>
      <c r="F117" s="50" t="n">
        <v>861.9</v>
      </c>
      <c r="G117" s="51" t="n">
        <v>-7.47</v>
      </c>
      <c r="H117" s="51" t="n">
        <v>-0.06</v>
      </c>
      <c r="I117" s="30" t="n">
        <v>285.890000000003</v>
      </c>
      <c r="J117" s="51" t="n">
        <v>525.825</v>
      </c>
      <c r="K117" s="52">
        <f>IF(AND(B117="SELL",E117&gt;0,J117&lt;&gt;""),J117/E117,0)</f>
        <v/>
      </c>
      <c r="L117" s="52" t="n">
        <v>0.57</v>
      </c>
      <c r="M117" s="50">
        <f>IF(AND(B117="SELL",L117&gt;0),D117*L117,0)</f>
        <v/>
      </c>
      <c r="N117" s="46" t="n"/>
      <c r="O117" s="53">
        <f>IF(AND(B117="SELL",G117&lt;&gt;0),Q117/ABS(G117),0)</f>
        <v/>
      </c>
      <c r="P117" s="53">
        <f>IF(AND(B117="SELL",D117&gt;0),R117/D117,0)</f>
        <v/>
      </c>
      <c r="Q117" s="54">
        <f>IF(AND(B117="SELL",D117&gt;0,E117&gt;0),(D117/E117)+G117,0)</f>
        <v/>
      </c>
      <c r="R117" s="55">
        <f>IF(B117="SELL",Q117*F117,0)</f>
        <v/>
      </c>
      <c r="S117" s="35">
        <f>S116+R117</f>
        <v/>
      </c>
    </row>
    <row r="118" ht="15.75" customHeight="1" s="94">
      <c r="A118" s="36" t="n">
        <v>117</v>
      </c>
      <c r="B118" s="37" t="inlineStr">
        <is>
          <t>SELL</t>
        </is>
      </c>
      <c r="C118" s="38" t="n">
        <v>46070</v>
      </c>
      <c r="D118" s="39" t="n">
        <v>20000</v>
      </c>
      <c r="E118" s="40" t="n">
        <v>861.9</v>
      </c>
      <c r="F118" s="40" t="n">
        <v>861.9</v>
      </c>
      <c r="G118" s="41" t="n">
        <v>-21.61</v>
      </c>
      <c r="H118" s="41" t="n">
        <v>-0.06</v>
      </c>
      <c r="I118" s="19" t="n">
        <v>264.220000000003</v>
      </c>
      <c r="J118" s="41" t="n">
        <v>527.38</v>
      </c>
      <c r="K118" s="42">
        <f>IF(AND(B118="SELL",E118&gt;0,J118&lt;&gt;""),J118/E118,0)</f>
        <v/>
      </c>
      <c r="L118" s="42" t="n">
        <v>0.57</v>
      </c>
      <c r="M118" s="40">
        <f>IF(AND(B118="SELL",L118&gt;0),D118*L118,0)</f>
        <v/>
      </c>
      <c r="N118" s="36" t="n"/>
      <c r="O118" s="43">
        <f>IF(AND(B118="SELL",G118&lt;&gt;0),Q118/ABS(G118),0)</f>
        <v/>
      </c>
      <c r="P118" s="43">
        <f>IF(AND(B118="SELL",D118&gt;0),R118/D118,0)</f>
        <v/>
      </c>
      <c r="Q118" s="44">
        <f>IF(AND(B118="SELL",D118&gt;0,E118&gt;0),(D118/E118)+G118,0)</f>
        <v/>
      </c>
      <c r="R118" s="45">
        <f>IF(B118="SELL",Q118*F118,0)</f>
        <v/>
      </c>
      <c r="S118" s="24">
        <f>S117+R118</f>
        <v/>
      </c>
    </row>
    <row r="119" ht="15.75" customHeight="1" s="94">
      <c r="A119" s="46" t="n">
        <v>118</v>
      </c>
      <c r="B119" s="47" t="inlineStr">
        <is>
          <t>SELL</t>
        </is>
      </c>
      <c r="C119" s="48" t="n">
        <v>46071</v>
      </c>
      <c r="D119" s="49" t="n">
        <v>10000</v>
      </c>
      <c r="E119" s="50" t="n">
        <v>861.9</v>
      </c>
      <c r="F119" s="50" t="n">
        <v>861.9</v>
      </c>
      <c r="G119" s="51" t="n">
        <v>-10.86</v>
      </c>
      <c r="H119" s="51" t="n">
        <v>-0.06</v>
      </c>
      <c r="I119" s="30" t="n">
        <v>253.300000000003</v>
      </c>
      <c r="J119" s="51" t="n">
        <v>532</v>
      </c>
      <c r="K119" s="52">
        <f>IF(AND(B119="SELL",E119&gt;0,J119&lt;&gt;""),J119/E119,0)</f>
        <v/>
      </c>
      <c r="L119" s="52" t="n">
        <v>0.578</v>
      </c>
      <c r="M119" s="50">
        <f>IF(AND(B119="SELL",L119&gt;0),D119*L119,0)</f>
        <v/>
      </c>
      <c r="N119" s="46" t="n"/>
      <c r="O119" s="53">
        <f>IF(AND(B119="SELL",G119&lt;&gt;0),Q119/ABS(G119),0)</f>
        <v/>
      </c>
      <c r="P119" s="53">
        <f>IF(AND(B119="SELL",D119&gt;0),R119/D119,0)</f>
        <v/>
      </c>
      <c r="Q119" s="54">
        <f>IF(AND(B119="SELL",D119&gt;0,E119&gt;0),(D119/E119)+G119,0)</f>
        <v/>
      </c>
      <c r="R119" s="55">
        <f>IF(B119="SELL",Q119*F119,0)</f>
        <v/>
      </c>
      <c r="S119" s="35">
        <f>S118+R119</f>
        <v/>
      </c>
    </row>
    <row r="120" ht="15.75" customHeight="1" s="94">
      <c r="A120" s="36" t="n">
        <v>119</v>
      </c>
      <c r="B120" s="37" t="inlineStr">
        <is>
          <t>SELL</t>
        </is>
      </c>
      <c r="C120" s="38" t="n">
        <v>46071</v>
      </c>
      <c r="D120" s="39" t="n">
        <v>120000</v>
      </c>
      <c r="E120" s="40" t="n">
        <v>861.9</v>
      </c>
      <c r="F120" s="40" t="n">
        <v>861.9</v>
      </c>
      <c r="G120" s="41" t="n">
        <v>-129.01</v>
      </c>
      <c r="H120" s="41" t="n">
        <v>-0.06</v>
      </c>
      <c r="I120" s="19" t="n">
        <v>124.230000000003</v>
      </c>
      <c r="J120" s="41" t="n">
        <v>537.611</v>
      </c>
      <c r="K120" s="42">
        <f>IF(AND(B120="SELL",E120&gt;0,J120&lt;&gt;""),J120/E120,0)</f>
        <v/>
      </c>
      <c r="L120" s="42" t="n">
        <v>0.578</v>
      </c>
      <c r="M120" s="40">
        <f>IF(AND(B120="SELL",L120&gt;0),D120*L120,0)</f>
        <v/>
      </c>
      <c r="N120" s="36" t="n"/>
      <c r="O120" s="43">
        <f>IF(AND(B120="SELL",G120&lt;&gt;0),Q120/ABS(G120),0)</f>
        <v/>
      </c>
      <c r="P120" s="43">
        <f>IF(AND(B120="SELL",D120&gt;0),R120/D120,0)</f>
        <v/>
      </c>
      <c r="Q120" s="44">
        <f>IF(AND(B120="SELL",D120&gt;0,E120&gt;0),(D120/E120)+G120,0)</f>
        <v/>
      </c>
      <c r="R120" s="45">
        <f>IF(B120="SELL",Q120*F120,0)</f>
        <v/>
      </c>
      <c r="S120" s="24">
        <f>S119+R120</f>
        <v/>
      </c>
    </row>
    <row r="121" ht="15.75" customHeight="1" s="94">
      <c r="A121" s="46" t="n">
        <v>120</v>
      </c>
      <c r="B121" s="47" t="inlineStr">
        <is>
          <t>SELL</t>
        </is>
      </c>
      <c r="C121" s="48" t="n">
        <v>46071</v>
      </c>
      <c r="D121" s="49" t="n">
        <v>20000</v>
      </c>
      <c r="E121" s="50" t="n">
        <v>861.9</v>
      </c>
      <c r="F121" s="50" t="n">
        <v>861.9</v>
      </c>
      <c r="G121" s="51" t="n">
        <v>-21.44</v>
      </c>
      <c r="H121" s="51" t="n">
        <v>-0.06</v>
      </c>
      <c r="I121" s="30" t="n">
        <v>102.730000000003</v>
      </c>
      <c r="J121" s="51" t="n">
        <v>539.155</v>
      </c>
      <c r="K121" s="52">
        <f>IF(AND(B121="SELL",E121&gt;0,J121&lt;&gt;""),J121/E121,0)</f>
        <v/>
      </c>
      <c r="L121" s="52" t="n">
        <v>0.578</v>
      </c>
      <c r="M121" s="50">
        <f>IF(AND(B121="SELL",L121&gt;0),D121*L121,0)</f>
        <v/>
      </c>
      <c r="N121" s="46" t="n"/>
      <c r="O121" s="53">
        <f>IF(AND(B121="SELL",G121&lt;&gt;0),Q121/ABS(G121),0)</f>
        <v/>
      </c>
      <c r="P121" s="53">
        <f>IF(AND(B121="SELL",D121&gt;0),R121/D121,0)</f>
        <v/>
      </c>
      <c r="Q121" s="54">
        <f>IF(AND(B121="SELL",D121&gt;0,E121&gt;0),(D121/E121)+G121,0)</f>
        <v/>
      </c>
      <c r="R121" s="55">
        <f>IF(B121="SELL",Q121*F121,0)</f>
        <v/>
      </c>
      <c r="S121" s="35">
        <f>S120+R121</f>
        <v/>
      </c>
    </row>
    <row r="122" ht="15.75" customHeight="1" s="94">
      <c r="A122" s="36" t="n">
        <v>121</v>
      </c>
      <c r="B122" s="37" t="inlineStr">
        <is>
          <t>SELL</t>
        </is>
      </c>
      <c r="C122" s="38" t="n">
        <v>46071</v>
      </c>
      <c r="D122" s="39" t="n">
        <v>10000</v>
      </c>
      <c r="E122" s="40" t="n">
        <v>861.9</v>
      </c>
      <c r="F122" s="40" t="n">
        <v>861.9</v>
      </c>
      <c r="G122" s="41" t="n">
        <v>-10.46</v>
      </c>
      <c r="H122" s="41" t="n">
        <v>-0.06</v>
      </c>
      <c r="I122" s="19" t="n">
        <v>92.21000000000311</v>
      </c>
      <c r="J122" s="41" t="n">
        <v>552.413</v>
      </c>
      <c r="K122" s="42">
        <f>IF(AND(B122="SELL",E122&gt;0,J122&lt;&gt;""),J122/E122,0)</f>
        <v/>
      </c>
      <c r="L122" s="42" t="n">
        <v>0.578</v>
      </c>
      <c r="M122" s="40">
        <f>IF(AND(B122="SELL",L122&gt;0),D122*L122,0)</f>
        <v/>
      </c>
      <c r="N122" s="36" t="n"/>
      <c r="O122" s="43">
        <f>IF(AND(B122="SELL",G122&lt;&gt;0),Q122/ABS(G122),0)</f>
        <v/>
      </c>
      <c r="P122" s="43">
        <f>IF(AND(B122="SELL",D122&gt;0),R122/D122,0)</f>
        <v/>
      </c>
      <c r="Q122" s="44">
        <f>IF(AND(B122="SELL",D122&gt;0,E122&gt;0),(D122/E122)+G122,0)</f>
        <v/>
      </c>
      <c r="R122" s="45">
        <f>IF(B122="SELL",Q122*F122,0)</f>
        <v/>
      </c>
      <c r="S122" s="24">
        <f>S121+R122</f>
        <v/>
      </c>
    </row>
    <row r="123" ht="15.75" customHeight="1" s="94">
      <c r="A123" s="46" t="n">
        <v>122</v>
      </c>
      <c r="B123" s="47" t="inlineStr">
        <is>
          <t>SELL</t>
        </is>
      </c>
      <c r="C123" s="48" t="n">
        <v>46071</v>
      </c>
      <c r="D123" s="49" t="n">
        <v>50000</v>
      </c>
      <c r="E123" s="50" t="n">
        <v>861.9</v>
      </c>
      <c r="F123" s="50" t="n">
        <v>861.9</v>
      </c>
      <c r="G123" s="51" t="n">
        <v>-51.81</v>
      </c>
      <c r="H123" s="51" t="n">
        <v>0.06</v>
      </c>
      <c r="I123" s="30" t="n">
        <v>40.4600000000031</v>
      </c>
      <c r="J123" s="51" t="n">
        <v>557.76</v>
      </c>
      <c r="K123" s="52">
        <f>IF(AND(B123="SELL",E123&gt;0,J123&lt;&gt;""),J123/E123,0)</f>
        <v/>
      </c>
      <c r="L123" s="52" t="n">
        <v>0.578</v>
      </c>
      <c r="M123" s="50">
        <f>IF(AND(B123="SELL",L123&gt;0),D123*L123,0)</f>
        <v/>
      </c>
      <c r="N123" s="46" t="n"/>
      <c r="O123" s="53">
        <f>IF(AND(B123="SELL",G123&lt;&gt;0),Q123/ABS(G123),0)</f>
        <v/>
      </c>
      <c r="P123" s="53">
        <f>IF(AND(B123="SELL",D123&gt;0),R123/D123,0)</f>
        <v/>
      </c>
      <c r="Q123" s="54">
        <f>IF(AND(B123="SELL",D123&gt;0,E123&gt;0),(D123/E123)+G123,0)</f>
        <v/>
      </c>
      <c r="R123" s="55">
        <f>IF(B123="SELL",Q123*F123,0)</f>
        <v/>
      </c>
      <c r="S123" s="35">
        <f>S122+R123</f>
        <v/>
      </c>
    </row>
    <row r="124" ht="15.75" customHeight="1" s="94">
      <c r="A124" s="14" t="n">
        <v>123</v>
      </c>
      <c r="B124" s="15" t="inlineStr">
        <is>
          <t>BUY</t>
        </is>
      </c>
      <c r="C124" s="16" t="n">
        <v>46071</v>
      </c>
      <c r="D124" s="17" t="n">
        <v>2180800</v>
      </c>
      <c r="E124" s="18" t="n">
        <v>867</v>
      </c>
      <c r="F124" s="18" t="n">
        <v>867</v>
      </c>
      <c r="G124" s="19" t="n">
        <v>2515.34</v>
      </c>
      <c r="H124" s="19" t="n">
        <v>-0.06</v>
      </c>
      <c r="I124" s="19" t="n">
        <v>2555.8</v>
      </c>
      <c r="J124" s="19" t="n"/>
      <c r="K124" s="20">
        <f>IF(AND(B124="SELL",E124&gt;0,J124&lt;&gt;""),J124/E124,0)</f>
        <v/>
      </c>
      <c r="L124" s="20" t="n"/>
      <c r="M124" s="18">
        <f>IF(AND(B124="SELL",L124&gt;0),D124*L124,0)</f>
        <v/>
      </c>
      <c r="N124" s="14" t="n"/>
      <c r="O124" s="21">
        <f>IF(AND(B124="SELL",G124&lt;&gt;0),Q124/ABS(G124),0)</f>
        <v/>
      </c>
      <c r="P124" s="21">
        <f>IF(AND(B124="SELL",D124&gt;0),R124/D124,0)</f>
        <v/>
      </c>
      <c r="Q124" s="22">
        <f>IF(AND(B124="SELL",D124&gt;0,E124&gt;0),(D124/E124)+G124,0)</f>
        <v/>
      </c>
      <c r="R124" s="23">
        <f>IF(B124="SELL",Q124*F124,0)</f>
        <v/>
      </c>
      <c r="S124" s="24">
        <f>S123+R124</f>
        <v/>
      </c>
    </row>
    <row r="125" ht="15.75" customHeight="1" s="94">
      <c r="A125" s="46" t="n">
        <v>124</v>
      </c>
      <c r="B125" s="47" t="inlineStr">
        <is>
          <t>SELL</t>
        </is>
      </c>
      <c r="C125" s="48" t="n">
        <v>46071</v>
      </c>
      <c r="D125" s="49" t="n">
        <v>100000</v>
      </c>
      <c r="E125" s="50" t="n">
        <v>867</v>
      </c>
      <c r="F125" s="50" t="n">
        <v>867</v>
      </c>
      <c r="G125" s="51" t="n">
        <v>-102.37</v>
      </c>
      <c r="H125" s="51" t="n">
        <v>-0.06</v>
      </c>
      <c r="I125" s="30" t="n">
        <v>2453.37</v>
      </c>
      <c r="J125" s="51" t="n">
        <v>564.6</v>
      </c>
      <c r="K125" s="52">
        <f>IF(AND(B125="SELL",E125&gt;0,J125&lt;&gt;""),J125/E125,0)</f>
        <v/>
      </c>
      <c r="L125" s="52" t="n">
        <v>0.578</v>
      </c>
      <c r="M125" s="50">
        <f>IF(AND(B125="SELL",L125&gt;0),D125*L125,0)</f>
        <v/>
      </c>
      <c r="N125" s="46" t="n"/>
      <c r="O125" s="53">
        <f>IF(AND(B125="SELL",G125&lt;&gt;0),Q125/ABS(G125),0)</f>
        <v/>
      </c>
      <c r="P125" s="53">
        <f>IF(AND(B125="SELL",D125&gt;0),R125/D125,0)</f>
        <v/>
      </c>
      <c r="Q125" s="54">
        <f>IF(AND(B125="SELL",D125&gt;0,E125&gt;0),(D125/E125)+G125,0)</f>
        <v/>
      </c>
      <c r="R125" s="55">
        <f>IF(B125="SELL",Q125*F125,0)</f>
        <v/>
      </c>
      <c r="S125" s="35">
        <f>S124+R125</f>
        <v/>
      </c>
    </row>
    <row r="126" ht="15.75" customHeight="1" s="94">
      <c r="A126" s="36" t="n">
        <v>125</v>
      </c>
      <c r="B126" s="37" t="inlineStr">
        <is>
          <t>SELL</t>
        </is>
      </c>
      <c r="C126" s="38" t="n">
        <v>46072</v>
      </c>
      <c r="D126" s="39" t="n">
        <v>40000</v>
      </c>
      <c r="E126" s="40" t="n">
        <v>867</v>
      </c>
      <c r="F126" s="40" t="n">
        <v>867</v>
      </c>
      <c r="G126" s="41" t="n">
        <v>-42.54</v>
      </c>
      <c r="H126" s="41" t="n">
        <v>-0.06</v>
      </c>
      <c r="I126" s="19" t="n">
        <v>2410.77</v>
      </c>
      <c r="J126" s="41" t="n">
        <v>573.5</v>
      </c>
      <c r="K126" s="42">
        <f>IF(AND(B126="SELL",E126&gt;0,J126&lt;&gt;""),J126/E126,0)</f>
        <v/>
      </c>
      <c r="L126" s="42" t="n">
        <v>0.61</v>
      </c>
      <c r="M126" s="40">
        <f>IF(AND(B126="SELL",L126&gt;0),D126*L126,0)</f>
        <v/>
      </c>
      <c r="N126" s="36" t="n"/>
      <c r="O126" s="43">
        <f>IF(AND(B126="SELL",G126&lt;&gt;0),Q126/ABS(G126),0)</f>
        <v/>
      </c>
      <c r="P126" s="43">
        <f>IF(AND(B126="SELL",D126&gt;0),R126/D126,0)</f>
        <v/>
      </c>
      <c r="Q126" s="44">
        <f>IF(AND(B126="SELL",D126&gt;0,E126&gt;0),(D126/E126)+G126,0)</f>
        <v/>
      </c>
      <c r="R126" s="45">
        <f>IF(B126="SELL",Q126*F126,0)</f>
        <v/>
      </c>
      <c r="S126" s="24">
        <f>S125+R126</f>
        <v/>
      </c>
    </row>
    <row r="127" ht="15.75" customHeight="1" s="94">
      <c r="A127" s="46" t="n">
        <v>126</v>
      </c>
      <c r="B127" s="47" t="inlineStr">
        <is>
          <t>SELL</t>
        </is>
      </c>
      <c r="C127" s="48" t="n">
        <v>46072</v>
      </c>
      <c r="D127" s="49" t="n">
        <v>30000</v>
      </c>
      <c r="E127" s="50" t="n">
        <v>867</v>
      </c>
      <c r="F127" s="50" t="n">
        <v>867</v>
      </c>
      <c r="G127" s="51" t="n">
        <v>-31.56</v>
      </c>
      <c r="H127" s="51" t="n">
        <v>-0.06</v>
      </c>
      <c r="I127" s="30" t="n">
        <v>2379.15</v>
      </c>
      <c r="J127" s="51" t="n">
        <v>579.801</v>
      </c>
      <c r="K127" s="52">
        <f>IF(AND(B127="SELL",E127&gt;0,J127&lt;&gt;""),J127/E127,0)</f>
        <v/>
      </c>
      <c r="L127" s="52" t="n">
        <v>0.61</v>
      </c>
      <c r="M127" s="50">
        <f>IF(AND(B127="SELL",L127&gt;0),D127*L127,0)</f>
        <v/>
      </c>
      <c r="N127" s="46" t="n"/>
      <c r="O127" s="53">
        <f>IF(AND(B127="SELL",G127&lt;&gt;0),Q127/ABS(G127),0)</f>
        <v/>
      </c>
      <c r="P127" s="53">
        <f>IF(AND(B127="SELL",D127&gt;0),R127/D127,0)</f>
        <v/>
      </c>
      <c r="Q127" s="54">
        <f>IF(AND(B127="SELL",D127&gt;0,E127&gt;0),(D127/E127)+G127,0)</f>
        <v/>
      </c>
      <c r="R127" s="55">
        <f>IF(B127="SELL",Q127*F127,0)</f>
        <v/>
      </c>
      <c r="S127" s="35">
        <f>S126+R127</f>
        <v/>
      </c>
    </row>
    <row r="128" ht="15.75" customHeight="1" s="94">
      <c r="A128" s="36" t="n">
        <v>127</v>
      </c>
      <c r="B128" s="37" t="inlineStr">
        <is>
          <t>SELL</t>
        </is>
      </c>
      <c r="C128" s="38" t="n">
        <v>46073</v>
      </c>
      <c r="D128" s="39" t="n">
        <v>50000</v>
      </c>
      <c r="E128" s="40" t="n">
        <v>867</v>
      </c>
      <c r="F128" s="40" t="n">
        <v>867</v>
      </c>
      <c r="G128" s="41" t="n">
        <v>-54.41</v>
      </c>
      <c r="H128" s="41" t="n">
        <v>-0.06</v>
      </c>
      <c r="I128" s="19" t="n">
        <v>2324.68</v>
      </c>
      <c r="J128" s="41" t="n">
        <v>573.36</v>
      </c>
      <c r="K128" s="42">
        <f>IF(AND(B128="SELL",E128&gt;0,J128&lt;&gt;""),J128/E128,0)</f>
        <v/>
      </c>
      <c r="L128" s="42" t="n">
        <v>0.624</v>
      </c>
      <c r="M128" s="40">
        <f>IF(AND(B128="SELL",L128&gt;0),D128*L128,0)</f>
        <v/>
      </c>
      <c r="N128" s="36" t="n"/>
      <c r="O128" s="43">
        <f>IF(AND(B128="SELL",G128&lt;&gt;0),Q128/ABS(G128),0)</f>
        <v/>
      </c>
      <c r="P128" s="43">
        <f>IF(AND(B128="SELL",D128&gt;0),R128/D128,0)</f>
        <v/>
      </c>
      <c r="Q128" s="44">
        <f>IF(AND(B128="SELL",D128&gt;0,E128&gt;0),(D128/E128)+G128,0)</f>
        <v/>
      </c>
      <c r="R128" s="45">
        <f>IF(B128="SELL",Q128*F128,0)</f>
        <v/>
      </c>
      <c r="S128" s="24">
        <f>S127+R128</f>
        <v/>
      </c>
    </row>
    <row r="129" ht="15.75" customHeight="1" s="94">
      <c r="A129" s="46" t="n">
        <v>128</v>
      </c>
      <c r="B129" s="47" t="inlineStr">
        <is>
          <t>SELL</t>
        </is>
      </c>
      <c r="C129" s="48" t="n">
        <v>46073</v>
      </c>
      <c r="D129" s="49" t="n">
        <v>100000</v>
      </c>
      <c r="E129" s="50" t="n">
        <v>867</v>
      </c>
      <c r="F129" s="50" t="n">
        <v>867</v>
      </c>
      <c r="G129" s="51" t="n">
        <v>-109.16</v>
      </c>
      <c r="H129" s="51" t="n">
        <v>-0.06</v>
      </c>
      <c r="I129" s="30" t="n">
        <v>2215.46</v>
      </c>
      <c r="J129" s="51" t="n">
        <v>571.62</v>
      </c>
      <c r="K129" s="52">
        <f>IF(AND(B129="SELL",E129&gt;0,J129&lt;&gt;""),J129/E129,0)</f>
        <v/>
      </c>
      <c r="L129" s="52" t="n">
        <v>0.624</v>
      </c>
      <c r="M129" s="50">
        <f>IF(AND(B129="SELL",L129&gt;0),D129*L129,0)</f>
        <v/>
      </c>
      <c r="N129" s="46" t="n"/>
      <c r="O129" s="53">
        <f>IF(AND(B129="SELL",G129&lt;&gt;0),Q129/ABS(G129),0)</f>
        <v/>
      </c>
      <c r="P129" s="53">
        <f>IF(AND(B129="SELL",D129&gt;0),R129/D129,0)</f>
        <v/>
      </c>
      <c r="Q129" s="54">
        <f>IF(AND(B129="SELL",D129&gt;0,E129&gt;0),(D129/E129)+G129,0)</f>
        <v/>
      </c>
      <c r="R129" s="55">
        <f>IF(B129="SELL",Q129*F129,0)</f>
        <v/>
      </c>
      <c r="S129" s="35">
        <f>S128+R129</f>
        <v/>
      </c>
    </row>
    <row r="130" ht="15.75" customHeight="1" s="94">
      <c r="A130" s="36" t="n">
        <v>129</v>
      </c>
      <c r="B130" s="37" t="inlineStr">
        <is>
          <t>SELL</t>
        </is>
      </c>
      <c r="C130" s="38" t="n">
        <v>46073</v>
      </c>
      <c r="D130" s="39" t="n">
        <v>200000</v>
      </c>
      <c r="E130" s="40" t="n">
        <v>867</v>
      </c>
      <c r="F130" s="40" t="n">
        <v>867</v>
      </c>
      <c r="G130" s="41" t="n">
        <v>-215.95</v>
      </c>
      <c r="H130" s="41" t="n">
        <v>-0.06</v>
      </c>
      <c r="I130" s="19" t="n">
        <v>1999.45</v>
      </c>
      <c r="J130" s="41" t="n">
        <v>578.812</v>
      </c>
      <c r="K130" s="42">
        <f>IF(AND(B130="SELL",E130&gt;0,J130&lt;&gt;""),J130/E130,0)</f>
        <v/>
      </c>
      <c r="L130" s="42" t="n">
        <v>0.625</v>
      </c>
      <c r="M130" s="40">
        <f>IF(AND(B130="SELL",L130&gt;0),D130*L130,0)</f>
        <v/>
      </c>
      <c r="N130" s="36" t="n"/>
      <c r="O130" s="43">
        <f>IF(AND(B130="SELL",G130&lt;&gt;0),Q130/ABS(G130),0)</f>
        <v/>
      </c>
      <c r="P130" s="43">
        <f>IF(AND(B130="SELL",D130&gt;0),R130/D130,0)</f>
        <v/>
      </c>
      <c r="Q130" s="44">
        <f>IF(AND(B130="SELL",D130&gt;0,E130&gt;0),(D130/E130)+G130,0)</f>
        <v/>
      </c>
      <c r="R130" s="45">
        <f>IF(B130="SELL",Q130*F130,0)</f>
        <v/>
      </c>
      <c r="S130" s="24">
        <f>S129+R130</f>
        <v/>
      </c>
    </row>
    <row r="131" ht="15.75" customHeight="1" s="94">
      <c r="A131" s="46" t="n">
        <v>130</v>
      </c>
      <c r="B131" s="47" t="inlineStr">
        <is>
          <t>SELL</t>
        </is>
      </c>
      <c r="C131" s="48" t="n">
        <v>46073</v>
      </c>
      <c r="D131" s="49" t="n">
        <v>20000</v>
      </c>
      <c r="E131" s="50" t="n">
        <v>867</v>
      </c>
      <c r="F131" s="50" t="n">
        <v>867</v>
      </c>
      <c r="G131" s="51" t="n">
        <v>-21.7</v>
      </c>
      <c r="H131" s="51" t="n">
        <v>-0.06</v>
      </c>
      <c r="I131" s="30" t="n">
        <v>1977.69</v>
      </c>
      <c r="J131" s="51" t="n">
        <v>575.05</v>
      </c>
      <c r="K131" s="52">
        <f>IF(AND(B131="SELL",E131&gt;0,J131&lt;&gt;""),J131/E131,0)</f>
        <v/>
      </c>
      <c r="L131" s="52" t="n">
        <v>0.624</v>
      </c>
      <c r="M131" s="50">
        <f>IF(AND(B131="SELL",L131&gt;0),D131*L131,0)</f>
        <v/>
      </c>
      <c r="N131" s="46" t="n"/>
      <c r="O131" s="53">
        <f>IF(AND(B131="SELL",G131&lt;&gt;0),Q131/ABS(G131),0)</f>
        <v/>
      </c>
      <c r="P131" s="53">
        <f>IF(AND(B131="SELL",D131&gt;0),R131/D131,0)</f>
        <v/>
      </c>
      <c r="Q131" s="54">
        <f>IF(AND(B131="SELL",D131&gt;0,E131&gt;0),(D131/E131)+G131,0)</f>
        <v/>
      </c>
      <c r="R131" s="55">
        <f>IF(B131="SELL",Q131*F131,0)</f>
        <v/>
      </c>
      <c r="S131" s="35">
        <f>S130+R131</f>
        <v/>
      </c>
    </row>
    <row r="132" ht="15.75" customHeight="1" s="94">
      <c r="A132" s="36" t="n">
        <v>131</v>
      </c>
      <c r="B132" s="37" t="inlineStr">
        <is>
          <t>SELL</t>
        </is>
      </c>
      <c r="C132" s="38" t="n">
        <v>46073</v>
      </c>
      <c r="D132" s="39" t="n">
        <v>20000</v>
      </c>
      <c r="E132" s="40" t="n">
        <v>867</v>
      </c>
      <c r="F132" s="40" t="n">
        <v>867</v>
      </c>
      <c r="G132" s="41" t="n">
        <v>-21.89</v>
      </c>
      <c r="H132" s="41" t="n">
        <v>-0.06</v>
      </c>
      <c r="I132" s="19" t="n">
        <v>1955.74</v>
      </c>
      <c r="J132" s="41" t="n">
        <v>570</v>
      </c>
      <c r="K132" s="42">
        <f>IF(AND(B132="SELL",E132&gt;0,J132&lt;&gt;""),J132/E132,0)</f>
        <v/>
      </c>
      <c r="L132" s="42" t="n">
        <v>0.624</v>
      </c>
      <c r="M132" s="40">
        <f>IF(AND(B132="SELL",L132&gt;0),D132*L132,0)</f>
        <v/>
      </c>
      <c r="N132" s="36" t="n"/>
      <c r="O132" s="43">
        <f>IF(AND(B132="SELL",G132&lt;&gt;0),Q132/ABS(G132),0)</f>
        <v/>
      </c>
      <c r="P132" s="43">
        <f>IF(AND(B132="SELL",D132&gt;0),R132/D132,0)</f>
        <v/>
      </c>
      <c r="Q132" s="44">
        <f>IF(AND(B132="SELL",D132&gt;0,E132&gt;0),(D132/E132)+G132,0)</f>
        <v/>
      </c>
      <c r="R132" s="45">
        <f>IF(B132="SELL",Q132*F132,0)</f>
        <v/>
      </c>
      <c r="S132" s="24">
        <f>S131+R132</f>
        <v/>
      </c>
    </row>
    <row r="133" ht="15.75" customHeight="1" s="94">
      <c r="A133" s="46" t="n">
        <v>132</v>
      </c>
      <c r="B133" s="47" t="inlineStr">
        <is>
          <t>SELL</t>
        </is>
      </c>
      <c r="C133" s="48" t="n">
        <v>46074</v>
      </c>
      <c r="D133" s="49" t="n">
        <v>100000</v>
      </c>
      <c r="E133" s="50" t="n">
        <v>867</v>
      </c>
      <c r="F133" s="50" t="n">
        <v>867</v>
      </c>
      <c r="G133" s="51" t="n">
        <v>-108.81</v>
      </c>
      <c r="H133" s="51" t="n">
        <v>-0.06</v>
      </c>
      <c r="I133" s="30" t="n">
        <v>1846.87</v>
      </c>
      <c r="J133" s="51" t="n">
        <v>569.8</v>
      </c>
      <c r="K133" s="52">
        <f>IF(AND(B133="SELL",E133&gt;0,J133&lt;&gt;""),J133/E133,0)</f>
        <v/>
      </c>
      <c r="L133" s="52" t="n">
        <v>0.62</v>
      </c>
      <c r="M133" s="50">
        <f>IF(AND(B133="SELL",L133&gt;0),D133*L133,0)</f>
        <v/>
      </c>
      <c r="N133" s="46" t="n"/>
      <c r="O133" s="53">
        <f>IF(AND(B133="SELL",G133&lt;&gt;0),Q133/ABS(G133),0)</f>
        <v/>
      </c>
      <c r="P133" s="53">
        <f>IF(AND(B133="SELL",D133&gt;0),R133/D133,0)</f>
        <v/>
      </c>
      <c r="Q133" s="54">
        <f>IF(AND(B133="SELL",D133&gt;0,E133&gt;0),(D133/E133)+G133,0)</f>
        <v/>
      </c>
      <c r="R133" s="55">
        <f>IF(B133="SELL",Q133*F133,0)</f>
        <v/>
      </c>
      <c r="S133" s="35">
        <f>S132+R133</f>
        <v/>
      </c>
    </row>
    <row r="134" ht="15.75" customHeight="1" s="94">
      <c r="A134" s="36" t="n">
        <v>133</v>
      </c>
      <c r="B134" s="37" t="inlineStr">
        <is>
          <t>SELL</t>
        </is>
      </c>
      <c r="C134" s="38" t="n">
        <v>46074</v>
      </c>
      <c r="D134" s="39" t="n">
        <v>20000</v>
      </c>
      <c r="E134" s="40" t="n">
        <v>867</v>
      </c>
      <c r="F134" s="40" t="n">
        <v>867</v>
      </c>
      <c r="G134" s="41" t="n">
        <v>-21.89</v>
      </c>
      <c r="H134" s="41" t="n">
        <v>-0.06</v>
      </c>
      <c r="I134" s="19" t="n">
        <v>1824.92</v>
      </c>
      <c r="J134" s="41" t="n">
        <v>570.005</v>
      </c>
      <c r="K134" s="42">
        <f>IF(AND(B134="SELL",E134&gt;0,J134&lt;&gt;""),J134/E134,0)</f>
        <v/>
      </c>
      <c r="L134" s="42" t="n">
        <v>0.624</v>
      </c>
      <c r="M134" s="40">
        <f>IF(AND(B134="SELL",L134&gt;0),D134*L134,0)</f>
        <v/>
      </c>
      <c r="N134" s="36" t="n"/>
      <c r="O134" s="43">
        <f>IF(AND(B134="SELL",G134&lt;&gt;0),Q134/ABS(G134),0)</f>
        <v/>
      </c>
      <c r="P134" s="43">
        <f>IF(AND(B134="SELL",D134&gt;0),R134/D134,0)</f>
        <v/>
      </c>
      <c r="Q134" s="44">
        <f>IF(AND(B134="SELL",D134&gt;0,E134&gt;0),(D134/E134)+G134,0)</f>
        <v/>
      </c>
      <c r="R134" s="45">
        <f>IF(B134="SELL",Q134*F134,0)</f>
        <v/>
      </c>
      <c r="S134" s="24">
        <f>S133+R134</f>
        <v/>
      </c>
    </row>
    <row r="135" ht="15.75" customHeight="1" s="94">
      <c r="A135" s="46" t="n">
        <v>134</v>
      </c>
      <c r="B135" s="47" t="inlineStr">
        <is>
          <t>SELL</t>
        </is>
      </c>
      <c r="C135" s="48" t="n">
        <v>46074</v>
      </c>
      <c r="D135" s="49" t="n">
        <v>10000</v>
      </c>
      <c r="E135" s="50" t="n">
        <v>867</v>
      </c>
      <c r="F135" s="50" t="n">
        <v>867</v>
      </c>
      <c r="G135" s="51" t="n">
        <v>-10.95</v>
      </c>
      <c r="H135" s="51" t="n">
        <v>-0.06</v>
      </c>
      <c r="I135" s="30" t="n">
        <v>1813.91</v>
      </c>
      <c r="J135" s="51" t="n">
        <v>566</v>
      </c>
      <c r="K135" s="52">
        <f>IF(AND(B135="SELL",E135&gt;0,J135&lt;&gt;""),J135/E135,0)</f>
        <v/>
      </c>
      <c r="L135" s="52" t="n">
        <v>0.62</v>
      </c>
      <c r="M135" s="50">
        <f>IF(AND(B135="SELL",L135&gt;0),D135*L135,0)</f>
        <v/>
      </c>
      <c r="N135" s="46" t="n"/>
      <c r="O135" s="53">
        <f>IF(AND(B135="SELL",G135&lt;&gt;0),Q135/ABS(G135),0)</f>
        <v/>
      </c>
      <c r="P135" s="53">
        <f>IF(AND(B135="SELL",D135&gt;0),R135/D135,0)</f>
        <v/>
      </c>
      <c r="Q135" s="54">
        <f>IF(AND(B135="SELL",D135&gt;0,E135&gt;0),(D135/E135)+G135,0)</f>
        <v/>
      </c>
      <c r="R135" s="55">
        <f>IF(B135="SELL",Q135*F135,0)</f>
        <v/>
      </c>
      <c r="S135" s="35">
        <f>S134+R135</f>
        <v/>
      </c>
    </row>
    <row r="136" ht="15.75" customHeight="1" s="94">
      <c r="A136" s="36" t="n">
        <v>135</v>
      </c>
      <c r="B136" s="37" t="inlineStr">
        <is>
          <t>SELL</t>
        </is>
      </c>
      <c r="C136" s="38" t="n">
        <v>46074</v>
      </c>
      <c r="D136" s="39" t="n">
        <v>20000</v>
      </c>
      <c r="E136" s="40" t="n">
        <v>867</v>
      </c>
      <c r="F136" s="40" t="n">
        <v>867</v>
      </c>
      <c r="G136" s="41" t="n">
        <v>-21.86</v>
      </c>
      <c r="H136" s="41" t="n">
        <v>-0.06</v>
      </c>
      <c r="I136" s="19" t="n">
        <v>1791.99</v>
      </c>
      <c r="J136" s="41" t="n">
        <v>567</v>
      </c>
      <c r="K136" s="42">
        <f>IF(AND(B136="SELL",E136&gt;0,J136&lt;&gt;""),J136/E136,0)</f>
        <v/>
      </c>
      <c r="L136" s="42" t="n">
        <v>0.62</v>
      </c>
      <c r="M136" s="40">
        <f>IF(AND(B136="SELL",L136&gt;0),D136*L136,0)</f>
        <v/>
      </c>
      <c r="N136" s="36" t="n"/>
      <c r="O136" s="43">
        <f>IF(AND(B136="SELL",G136&lt;&gt;0),Q136/ABS(G136),0)</f>
        <v/>
      </c>
      <c r="P136" s="43">
        <f>IF(AND(B136="SELL",D136&gt;0),R136/D136,0)</f>
        <v/>
      </c>
      <c r="Q136" s="44">
        <f>IF(AND(B136="SELL",D136&gt;0,E136&gt;0),(D136/E136)+G136,0)</f>
        <v/>
      </c>
      <c r="R136" s="45">
        <f>IF(B136="SELL",Q136*F136,0)</f>
        <v/>
      </c>
      <c r="S136" s="24">
        <f>S135+R136</f>
        <v/>
      </c>
    </row>
    <row r="137" ht="15.75" customHeight="1" s="94">
      <c r="A137" s="46" t="n">
        <v>136</v>
      </c>
      <c r="B137" s="47" t="inlineStr">
        <is>
          <t>SELL</t>
        </is>
      </c>
      <c r="C137" s="48" t="n">
        <v>46074</v>
      </c>
      <c r="D137" s="49" t="n">
        <v>35000</v>
      </c>
      <c r="E137" s="50" t="n">
        <v>867</v>
      </c>
      <c r="F137" s="50" t="n">
        <v>867</v>
      </c>
      <c r="G137" s="51" t="n">
        <v>-38.4</v>
      </c>
      <c r="H137" s="51" t="n">
        <v>-0.06</v>
      </c>
      <c r="I137" s="30" t="n">
        <v>1753.53</v>
      </c>
      <c r="J137" s="51" t="n">
        <v>565.025</v>
      </c>
      <c r="K137" s="52">
        <f>IF(AND(B137="SELL",E137&gt;0,J137&lt;&gt;""),J137/E137,0)</f>
        <v/>
      </c>
      <c r="L137" s="52" t="n">
        <v>0.62</v>
      </c>
      <c r="M137" s="50">
        <f>IF(AND(B137="SELL",L137&gt;0),D137*L137,0)</f>
        <v/>
      </c>
      <c r="N137" s="46" t="n"/>
      <c r="O137" s="53">
        <f>IF(AND(B137="SELL",G137&lt;&gt;0),Q137/ABS(G137),0)</f>
        <v/>
      </c>
      <c r="P137" s="53">
        <f>IF(AND(B137="SELL",D137&gt;0),R137/D137,0)</f>
        <v/>
      </c>
      <c r="Q137" s="54">
        <f>IF(AND(B137="SELL",D137&gt;0,E137&gt;0),(D137/E137)+G137,0)</f>
        <v/>
      </c>
      <c r="R137" s="55">
        <f>IF(B137="SELL",Q137*F137,0)</f>
        <v/>
      </c>
      <c r="S137" s="35">
        <f>S136+R137</f>
        <v/>
      </c>
    </row>
    <row r="138" ht="15.75" customHeight="1" s="94">
      <c r="A138" s="36" t="n">
        <v>137</v>
      </c>
      <c r="B138" s="37" t="inlineStr">
        <is>
          <t>SELL</t>
        </is>
      </c>
      <c r="C138" s="38" t="n">
        <v>46074</v>
      </c>
      <c r="D138" s="39" t="n">
        <v>40330</v>
      </c>
      <c r="E138" s="40" t="n">
        <v>867</v>
      </c>
      <c r="F138" s="40" t="n">
        <v>867</v>
      </c>
      <c r="G138" s="41" t="n">
        <v>-44.24</v>
      </c>
      <c r="H138" s="41" t="n">
        <v>-0.06</v>
      </c>
      <c r="I138" s="19" t="n">
        <v>1709.23</v>
      </c>
      <c r="J138" s="41" t="n">
        <v>565.0599999999999</v>
      </c>
      <c r="K138" s="42">
        <f>IF(AND(B138="SELL",E138&gt;0,J138&lt;&gt;""),J138/E138,0)</f>
        <v/>
      </c>
      <c r="L138" s="42" t="n">
        <v>0.62</v>
      </c>
      <c r="M138" s="40">
        <f>IF(AND(B138="SELL",L138&gt;0),D138*L138,0)</f>
        <v/>
      </c>
      <c r="N138" s="36" t="inlineStr">
        <is>
          <t>antonio pago or</t>
        </is>
      </c>
      <c r="O138" s="43">
        <f>IF(AND(B138="SELL",G138&lt;&gt;0),Q138/ABS(G138),0)</f>
        <v/>
      </c>
      <c r="P138" s="43">
        <f>IF(AND(B138="SELL",D138&gt;0),R138/D138,0)</f>
        <v/>
      </c>
      <c r="Q138" s="44">
        <f>IF(AND(B138="SELL",D138&gt;0,E138&gt;0),(D138/E138)+G138,0)</f>
        <v/>
      </c>
      <c r="R138" s="45">
        <f>IF(B138="SELL",Q138*F138,0)</f>
        <v/>
      </c>
      <c r="S138" s="24">
        <f>S137+R138</f>
        <v/>
      </c>
    </row>
    <row r="139" ht="15.75" customHeight="1" s="94">
      <c r="A139" s="46" t="n">
        <v>138</v>
      </c>
      <c r="B139" s="47" t="inlineStr">
        <is>
          <t>SELL</t>
        </is>
      </c>
      <c r="C139" s="48" t="n">
        <v>46075</v>
      </c>
      <c r="D139" s="49" t="n">
        <v>25000</v>
      </c>
      <c r="E139" s="50" t="n">
        <v>867</v>
      </c>
      <c r="F139" s="50" t="n">
        <v>867</v>
      </c>
      <c r="G139" s="51" t="n">
        <v>-27.17</v>
      </c>
      <c r="H139" s="51" t="n">
        <v>-0.06</v>
      </c>
      <c r="I139" s="30" t="n">
        <v>1682</v>
      </c>
      <c r="J139" s="51" t="n">
        <v>563.01</v>
      </c>
      <c r="K139" s="52">
        <f>IF(AND(B139="SELL",E139&gt;0,J139&lt;&gt;""),J139/E139,0)</f>
        <v/>
      </c>
      <c r="L139" s="52" t="n">
        <v>0.612</v>
      </c>
      <c r="M139" s="50">
        <f>IF(AND(B139="SELL",L139&gt;0),D139*L139,0)</f>
        <v/>
      </c>
      <c r="N139" s="46" t="n"/>
      <c r="O139" s="53">
        <f>IF(AND(B139="SELL",G139&lt;&gt;0),Q139/ABS(G139),0)</f>
        <v/>
      </c>
      <c r="P139" s="53">
        <f>IF(AND(B139="SELL",D139&gt;0),R139/D139,0)</f>
        <v/>
      </c>
      <c r="Q139" s="54">
        <f>IF(AND(B139="SELL",D139&gt;0,E139&gt;0),(D139/E139)+G139,0)</f>
        <v/>
      </c>
      <c r="R139" s="55">
        <f>IF(B139="SELL",Q139*F139,0)</f>
        <v/>
      </c>
      <c r="S139" s="35">
        <f>S138+R139</f>
        <v/>
      </c>
    </row>
    <row r="140" ht="15.75" customHeight="1" s="94">
      <c r="A140" s="36" t="n">
        <v>139</v>
      </c>
      <c r="B140" s="37" t="inlineStr">
        <is>
          <t>SELL</t>
        </is>
      </c>
      <c r="C140" s="38" t="n">
        <v>46075</v>
      </c>
      <c r="D140" s="39" t="n">
        <v>14000</v>
      </c>
      <c r="E140" s="40" t="n">
        <v>867</v>
      </c>
      <c r="F140" s="40" t="n">
        <v>867</v>
      </c>
      <c r="G140" s="41" t="n">
        <v>-15.37</v>
      </c>
      <c r="H140" s="41" t="n">
        <v>-0.06</v>
      </c>
      <c r="I140" s="19" t="n">
        <v>1666.57</v>
      </c>
      <c r="J140" s="41" t="n">
        <v>557.11</v>
      </c>
      <c r="K140" s="42">
        <f>IF(AND(B140="SELL",E140&gt;0,J140&lt;&gt;""),J140/E140,0)</f>
        <v/>
      </c>
      <c r="L140" s="42" t="n">
        <v>0.612</v>
      </c>
      <c r="M140" s="40">
        <f>IF(AND(B140="SELL",L140&gt;0),D140*L140,0)</f>
        <v/>
      </c>
      <c r="N140" s="36" t="n"/>
      <c r="O140" s="43">
        <f>IF(AND(B140="SELL",G140&lt;&gt;0),Q140/ABS(G140),0)</f>
        <v/>
      </c>
      <c r="P140" s="43">
        <f>IF(AND(B140="SELL",D140&gt;0),R140/D140,0)</f>
        <v/>
      </c>
      <c r="Q140" s="44">
        <f>IF(AND(B140="SELL",D140&gt;0,E140&gt;0),(D140/E140)+G140,0)</f>
        <v/>
      </c>
      <c r="R140" s="45">
        <f>IF(B140="SELL",Q140*F140,0)</f>
        <v/>
      </c>
      <c r="S140" s="24">
        <f>S139+R140</f>
        <v/>
      </c>
    </row>
    <row r="141" ht="15.75" customHeight="1" s="94">
      <c r="A141" s="46" t="n">
        <v>140</v>
      </c>
      <c r="B141" s="47" t="inlineStr">
        <is>
          <t>SELL</t>
        </is>
      </c>
      <c r="C141" s="48" t="n">
        <v>46075</v>
      </c>
      <c r="D141" s="49" t="n">
        <v>70000</v>
      </c>
      <c r="E141" s="50" t="n">
        <v>867</v>
      </c>
      <c r="F141" s="50" t="n">
        <v>867</v>
      </c>
      <c r="G141" s="51" t="n">
        <v>-76.77</v>
      </c>
      <c r="H141" s="51" t="n">
        <v>-0.06</v>
      </c>
      <c r="I141" s="30" t="n">
        <v>1589.74000000001</v>
      </c>
      <c r="J141" s="51" t="n">
        <v>558</v>
      </c>
      <c r="K141" s="52">
        <f>IF(AND(B141="SELL",E141&gt;0,J141&lt;&gt;""),J141/E141,0)</f>
        <v/>
      </c>
      <c r="L141" s="52" t="n">
        <v>0.612</v>
      </c>
      <c r="M141" s="50">
        <f>IF(AND(B141="SELL",L141&gt;0),D141*L141,0)</f>
        <v/>
      </c>
      <c r="N141" s="46" t="n"/>
      <c r="O141" s="53">
        <f>IF(AND(B141="SELL",G141&lt;&gt;0),Q141/ABS(G141),0)</f>
        <v/>
      </c>
      <c r="P141" s="53">
        <f>IF(AND(B141="SELL",D141&gt;0),R141/D141,0)</f>
        <v/>
      </c>
      <c r="Q141" s="54">
        <f>IF(AND(B141="SELL",D141&gt;0,E141&gt;0),(D141/E141)+G141,0)</f>
        <v/>
      </c>
      <c r="R141" s="55">
        <f>IF(B141="SELL",Q141*F141,0)</f>
        <v/>
      </c>
      <c r="S141" s="35">
        <f>S140+R141</f>
        <v/>
      </c>
    </row>
    <row r="142" ht="15.75" customHeight="1" s="94">
      <c r="A142" s="36" t="n">
        <v>141</v>
      </c>
      <c r="B142" s="37" t="inlineStr">
        <is>
          <t>SELL</t>
        </is>
      </c>
      <c r="C142" s="38" t="n">
        <v>46075</v>
      </c>
      <c r="D142" s="39" t="n">
        <v>50000</v>
      </c>
      <c r="E142" s="40" t="n">
        <v>867</v>
      </c>
      <c r="F142" s="40" t="n">
        <v>867</v>
      </c>
      <c r="G142" s="41" t="n">
        <v>-55.03</v>
      </c>
      <c r="H142" s="41" t="n">
        <v>-0.06</v>
      </c>
      <c r="I142" s="19" t="n">
        <v>1534.65000000001</v>
      </c>
      <c r="J142" s="41" t="n">
        <v>556.001</v>
      </c>
      <c r="K142" s="42">
        <f>IF(AND(B142="SELL",E142&gt;0,J142&lt;&gt;""),J142/E142,0)</f>
        <v/>
      </c>
      <c r="L142" s="42" t="n">
        <v>0.612</v>
      </c>
      <c r="M142" s="40">
        <f>IF(AND(B142="SELL",L142&gt;0),D142*L142,0)</f>
        <v/>
      </c>
      <c r="N142" s="36" t="n"/>
      <c r="O142" s="43">
        <f>IF(AND(B142="SELL",G142&lt;&gt;0),Q142/ABS(G142),0)</f>
        <v/>
      </c>
      <c r="P142" s="43">
        <f>IF(AND(B142="SELL",D142&gt;0),R142/D142,0)</f>
        <v/>
      </c>
      <c r="Q142" s="44">
        <f>IF(AND(B142="SELL",D142&gt;0,E142&gt;0),(D142/E142)+G142,0)</f>
        <v/>
      </c>
      <c r="R142" s="45">
        <f>IF(B142="SELL",Q142*F142,0)</f>
        <v/>
      </c>
      <c r="S142" s="24">
        <f>S141+R142</f>
        <v/>
      </c>
    </row>
    <row r="143" ht="15.75" customHeight="1" s="94">
      <c r="A143" s="46" t="n">
        <v>142</v>
      </c>
      <c r="B143" s="47" t="inlineStr">
        <is>
          <t>SELL</t>
        </is>
      </c>
      <c r="C143" s="48" t="n">
        <v>46076</v>
      </c>
      <c r="D143" s="49" t="n">
        <v>10000</v>
      </c>
      <c r="E143" s="50" t="n">
        <v>867</v>
      </c>
      <c r="F143" s="50" t="n">
        <v>867</v>
      </c>
      <c r="G143" s="51" t="n">
        <v>-11.05</v>
      </c>
      <c r="H143" s="51" t="n">
        <v>-0.06</v>
      </c>
      <c r="I143" s="30" t="n">
        <v>1523.54000000001</v>
      </c>
      <c r="J143" s="51" t="n">
        <v>561</v>
      </c>
      <c r="K143" s="52">
        <f>IF(AND(B143="SELL",E143&gt;0,J143&lt;&gt;""),J143/E143,0)</f>
        <v/>
      </c>
      <c r="L143" s="52" t="n">
        <v>0.62</v>
      </c>
      <c r="M143" s="50">
        <f>IF(AND(B143="SELL",L143&gt;0),D143*L143,0)</f>
        <v/>
      </c>
      <c r="N143" s="46" t="n"/>
      <c r="O143" s="53">
        <f>IF(AND(B143="SELL",G143&lt;&gt;0),Q143/ABS(G143),0)</f>
        <v/>
      </c>
      <c r="P143" s="53">
        <f>IF(AND(B143="SELL",D143&gt;0),R143/D143,0)</f>
        <v/>
      </c>
      <c r="Q143" s="54">
        <f>IF(AND(B143="SELL",D143&gt;0,E143&gt;0),(D143/E143)+G143,0)</f>
        <v/>
      </c>
      <c r="R143" s="55">
        <f>IF(B143="SELL",Q143*F143,0)</f>
        <v/>
      </c>
      <c r="S143" s="35">
        <f>S142+R143</f>
        <v/>
      </c>
    </row>
    <row r="144" ht="15.75" customHeight="1" s="94">
      <c r="A144" s="36" t="n">
        <v>143</v>
      </c>
      <c r="B144" s="37" t="inlineStr">
        <is>
          <t>SELL</t>
        </is>
      </c>
      <c r="C144" s="38" t="n">
        <v>46076</v>
      </c>
      <c r="D144" s="39" t="n">
        <v>10000</v>
      </c>
      <c r="E144" s="40" t="n">
        <v>867</v>
      </c>
      <c r="F144" s="40" t="n">
        <v>867</v>
      </c>
      <c r="G144" s="41" t="n">
        <v>-10.87</v>
      </c>
      <c r="H144" s="41" t="n">
        <v>-0.06</v>
      </c>
      <c r="I144" s="19" t="n">
        <v>1512.61000000001</v>
      </c>
      <c r="J144" s="41" t="n">
        <v>570.11</v>
      </c>
      <c r="K144" s="42">
        <f>IF(AND(B144="SELL",E144&gt;0,J144&lt;&gt;""),J144/E144,0)</f>
        <v/>
      </c>
      <c r="L144" s="42" t="n">
        <v>0.62</v>
      </c>
      <c r="M144" s="40">
        <f>IF(AND(B144="SELL",L144&gt;0),D144*L144,0)</f>
        <v/>
      </c>
      <c r="N144" s="36" t="n"/>
      <c r="O144" s="43">
        <f>IF(AND(B144="SELL",G144&lt;&gt;0),Q144/ABS(G144),0)</f>
        <v/>
      </c>
      <c r="P144" s="43">
        <f>IF(AND(B144="SELL",D144&gt;0),R144/D144,0)</f>
        <v/>
      </c>
      <c r="Q144" s="44">
        <f>IF(AND(B144="SELL",D144&gt;0,E144&gt;0),(D144/E144)+G144,0)</f>
        <v/>
      </c>
      <c r="R144" s="45">
        <f>IF(B144="SELL",Q144*F144,0)</f>
        <v/>
      </c>
      <c r="S144" s="24">
        <f>S143+R144</f>
        <v/>
      </c>
    </row>
    <row r="145" ht="15.75" customHeight="1" s="94">
      <c r="A145" s="46" t="n">
        <v>144</v>
      </c>
      <c r="B145" s="47" t="inlineStr">
        <is>
          <t>SELL</t>
        </is>
      </c>
      <c r="C145" s="48" t="n">
        <v>46077</v>
      </c>
      <c r="D145" s="49" t="n">
        <v>40000</v>
      </c>
      <c r="E145" s="50" t="n">
        <v>867</v>
      </c>
      <c r="F145" s="50" t="n">
        <v>867</v>
      </c>
      <c r="G145" s="51" t="n">
        <v>-43.21</v>
      </c>
      <c r="H145" s="51" t="n">
        <v>-0.06</v>
      </c>
      <c r="I145" s="30" t="n">
        <v>1469.34000000001</v>
      </c>
      <c r="J145" s="51" t="n">
        <v>3.332</v>
      </c>
      <c r="K145" s="52">
        <f>IF(AND(B145="SELL",E145&gt;0,J145&lt;&gt;""),J145/E145,0)</f>
        <v/>
      </c>
      <c r="L145" s="52" t="n">
        <v>0.00359</v>
      </c>
      <c r="M145" s="50">
        <f>IF(AND(B145="SELL",L145&gt;0),D145*L145,0)</f>
        <v/>
      </c>
      <c r="N145" s="46" t="inlineStr">
        <is>
          <t>PEN</t>
        </is>
      </c>
      <c r="O145" s="53">
        <f>IF(AND(B145="SELL",G145&lt;&gt;0),Q145/ABS(G145),0)</f>
        <v/>
      </c>
      <c r="P145" s="53">
        <f>IF(AND(B145="SELL",D145&gt;0),R145/D145,0)</f>
        <v/>
      </c>
      <c r="Q145" s="54">
        <f>IF(AND(B145="SELL",D145&gt;0,E145&gt;0),(D145/E145)+G145,0)</f>
        <v/>
      </c>
      <c r="R145" s="55">
        <f>IF(B145="SELL",Q145*F145,0)</f>
        <v/>
      </c>
      <c r="S145" s="35">
        <f>S144+R145</f>
        <v/>
      </c>
    </row>
    <row r="146" ht="15.75" customHeight="1" s="94">
      <c r="A146" s="36" t="n">
        <v>145</v>
      </c>
      <c r="B146" s="37" t="inlineStr">
        <is>
          <t>SELL</t>
        </is>
      </c>
      <c r="C146" s="38" t="n">
        <v>46077</v>
      </c>
      <c r="D146" s="39" t="n">
        <v>49700</v>
      </c>
      <c r="E146" s="40" t="n">
        <v>867</v>
      </c>
      <c r="F146" s="40" t="n">
        <v>867</v>
      </c>
      <c r="G146" s="41" t="n">
        <v>-53.3</v>
      </c>
      <c r="H146" s="41" t="n">
        <v>-0.06</v>
      </c>
      <c r="I146" s="19" t="n">
        <v>1415.98000000001</v>
      </c>
      <c r="J146" s="41" t="n">
        <v>606.001</v>
      </c>
      <c r="K146" s="42">
        <f>IF(AND(B146="SELL",E146&gt;0,J146&lt;&gt;""),J146/E146,0)</f>
        <v/>
      </c>
      <c r="L146" s="42" t="n">
        <v>0.65</v>
      </c>
      <c r="M146" s="40">
        <f>IF(AND(B146="SELL",L146&gt;0),D146*L146,0)</f>
        <v/>
      </c>
      <c r="N146" s="36" t="n"/>
      <c r="O146" s="43">
        <f>IF(AND(B146="SELL",G146&lt;&gt;0),Q146/ABS(G146),0)</f>
        <v/>
      </c>
      <c r="P146" s="43">
        <f>IF(AND(B146="SELL",D146&gt;0),R146/D146,0)</f>
        <v/>
      </c>
      <c r="Q146" s="44">
        <f>IF(AND(B146="SELL",D146&gt;0,E146&gt;0),(D146/E146)+G146,0)</f>
        <v/>
      </c>
      <c r="R146" s="45">
        <f>IF(B146="SELL",Q146*F146,0)</f>
        <v/>
      </c>
      <c r="S146" s="24">
        <f>S145+R146</f>
        <v/>
      </c>
    </row>
    <row r="147" ht="15.75" customHeight="1" s="94">
      <c r="A147" s="46" t="n">
        <v>146</v>
      </c>
      <c r="B147" s="47" t="inlineStr">
        <is>
          <t>SELL</t>
        </is>
      </c>
      <c r="C147" s="48" t="n">
        <v>46077</v>
      </c>
      <c r="D147" s="49" t="n">
        <v>10000</v>
      </c>
      <c r="E147" s="50" t="n">
        <v>867</v>
      </c>
      <c r="F147" s="50" t="n">
        <v>867</v>
      </c>
      <c r="G147" s="51" t="n">
        <v>-10.68</v>
      </c>
      <c r="H147" s="51" t="n">
        <v>-0.06</v>
      </c>
      <c r="I147" s="30" t="n">
        <v>1405.24000000001</v>
      </c>
      <c r="J147" s="51" t="n">
        <v>608.3</v>
      </c>
      <c r="K147" s="52">
        <f>IF(AND(B147="SELL",E147&gt;0,J147&lt;&gt;""),J147/E147,0)</f>
        <v/>
      </c>
      <c r="L147" s="52" t="n">
        <v>0.65</v>
      </c>
      <c r="M147" s="50">
        <f>IF(AND(B147="SELL",L147&gt;0),D147*L147,0)</f>
        <v/>
      </c>
      <c r="N147" s="46" t="n"/>
      <c r="O147" s="53">
        <f>IF(AND(B147="SELL",G147&lt;&gt;0),Q147/ABS(G147),0)</f>
        <v/>
      </c>
      <c r="P147" s="53">
        <f>IF(AND(B147="SELL",D147&gt;0),R147/D147,0)</f>
        <v/>
      </c>
      <c r="Q147" s="54">
        <f>IF(AND(B147="SELL",D147&gt;0,E147&gt;0),(D147/E147)+G147,0)</f>
        <v/>
      </c>
      <c r="R147" s="55">
        <f>IF(B147="SELL",Q147*F147,0)</f>
        <v/>
      </c>
      <c r="S147" s="35">
        <f>S146+R147</f>
        <v/>
      </c>
    </row>
    <row r="148" ht="15.75" customHeight="1" s="94">
      <c r="A148" s="36" t="n">
        <v>147</v>
      </c>
      <c r="B148" s="37" t="inlineStr">
        <is>
          <t>SELL</t>
        </is>
      </c>
      <c r="C148" s="38" t="n">
        <v>46077</v>
      </c>
      <c r="D148" s="39" t="n">
        <v>30000</v>
      </c>
      <c r="E148" s="40" t="n">
        <v>867</v>
      </c>
      <c r="F148" s="40" t="n">
        <v>867</v>
      </c>
      <c r="G148" s="41" t="n">
        <v>-31.75</v>
      </c>
      <c r="H148" s="41" t="n">
        <v>-0.06</v>
      </c>
      <c r="I148" s="19" t="n">
        <v>1373.43000000001</v>
      </c>
      <c r="J148" s="41" t="n">
        <v>614.1</v>
      </c>
      <c r="K148" s="42">
        <f>IF(AND(B148="SELL",E148&gt;0,J148&lt;&gt;""),J148/E148,0)</f>
        <v/>
      </c>
      <c r="L148" s="42" t="n">
        <v>0.65</v>
      </c>
      <c r="M148" s="40">
        <f>IF(AND(B148="SELL",L148&gt;0),D148*L148,0)</f>
        <v/>
      </c>
      <c r="N148" s="36" t="n"/>
      <c r="O148" s="43">
        <f>IF(AND(B148="SELL",G148&lt;&gt;0),Q148/ABS(G148),0)</f>
        <v/>
      </c>
      <c r="P148" s="43">
        <f>IF(AND(B148="SELL",D148&gt;0),R148/D148,0)</f>
        <v/>
      </c>
      <c r="Q148" s="44">
        <f>IF(AND(B148="SELL",D148&gt;0,E148&gt;0),(D148/E148)+G148,0)</f>
        <v/>
      </c>
      <c r="R148" s="45">
        <f>IF(B148="SELL",Q148*F148,0)</f>
        <v/>
      </c>
      <c r="S148" s="24">
        <f>S147+R148</f>
        <v/>
      </c>
    </row>
    <row r="149" ht="15.75" customHeight="1" s="94">
      <c r="A149" s="46" t="n">
        <v>148</v>
      </c>
      <c r="B149" s="47" t="inlineStr">
        <is>
          <t>SELL</t>
        </is>
      </c>
      <c r="C149" s="48" t="n">
        <v>46077</v>
      </c>
      <c r="D149" s="49" t="n">
        <v>5000</v>
      </c>
      <c r="E149" s="50" t="n">
        <v>867</v>
      </c>
      <c r="F149" s="50" t="n">
        <v>867</v>
      </c>
      <c r="G149" s="51" t="n">
        <v>-5.33</v>
      </c>
      <c r="H149" s="51" t="n">
        <v>-0.06</v>
      </c>
      <c r="I149" s="30" t="n">
        <v>1368.04000000001</v>
      </c>
      <c r="J149" s="51" t="n">
        <v>609</v>
      </c>
      <c r="K149" s="52">
        <f>IF(AND(B149="SELL",E149&gt;0,J149&lt;&gt;""),J149/E149,0)</f>
        <v/>
      </c>
      <c r="L149" s="52" t="n">
        <v>0.65</v>
      </c>
      <c r="M149" s="50">
        <f>IF(AND(B149="SELL",L149&gt;0),D149*L149,0)</f>
        <v/>
      </c>
      <c r="N149" s="46" t="n"/>
      <c r="O149" s="53">
        <f>IF(AND(B149="SELL",G149&lt;&gt;0),Q149/ABS(G149),0)</f>
        <v/>
      </c>
      <c r="P149" s="53">
        <f>IF(AND(B149="SELL",D149&gt;0),R149/D149,0)</f>
        <v/>
      </c>
      <c r="Q149" s="54">
        <f>IF(AND(B149="SELL",D149&gt;0,E149&gt;0),(D149/E149)+G149,0)</f>
        <v/>
      </c>
      <c r="R149" s="55">
        <f>IF(B149="SELL",Q149*F149,0)</f>
        <v/>
      </c>
      <c r="S149" s="35">
        <f>S148+R149</f>
        <v/>
      </c>
    </row>
    <row r="150" ht="15.75" customHeight="1" s="94">
      <c r="A150" s="36" t="n">
        <v>149</v>
      </c>
      <c r="B150" s="37" t="inlineStr">
        <is>
          <t>SELL</t>
        </is>
      </c>
      <c r="C150" s="38" t="n">
        <v>46077</v>
      </c>
      <c r="D150" s="39" t="n">
        <v>35000</v>
      </c>
      <c r="E150" s="40" t="n">
        <v>867</v>
      </c>
      <c r="F150" s="40" t="n">
        <v>867</v>
      </c>
      <c r="G150" s="41" t="n">
        <v>-37.21</v>
      </c>
      <c r="H150" s="41" t="n">
        <v>-0.06</v>
      </c>
      <c r="I150" s="19" t="n">
        <v>1330.77000000001</v>
      </c>
      <c r="J150" s="41" t="n">
        <v>3630</v>
      </c>
      <c r="K150" s="42">
        <f>IF(AND(B150="SELL",E150&gt;0,J150&lt;&gt;""),J150/E150,0)</f>
        <v/>
      </c>
      <c r="L150" s="42" t="n">
        <v>3.86</v>
      </c>
      <c r="M150" s="40">
        <f>IF(AND(B150="SELL",L150&gt;0),D150*L150,0)</f>
        <v/>
      </c>
      <c r="N150" s="36" t="inlineStr">
        <is>
          <t>COP</t>
        </is>
      </c>
      <c r="O150" s="43">
        <f>IF(AND(B150="SELL",G150&lt;&gt;0),Q150/ABS(G150),0)</f>
        <v/>
      </c>
      <c r="P150" s="43">
        <f>IF(AND(B150="SELL",D150&gt;0),R150/D150,0)</f>
        <v/>
      </c>
      <c r="Q150" s="44">
        <f>IF(AND(B150="SELL",D150&gt;0,E150&gt;0),(D150/E150)+G150,0)</f>
        <v/>
      </c>
      <c r="R150" s="45">
        <f>IF(B150="SELL",Q150*F150,0)</f>
        <v/>
      </c>
      <c r="S150" s="24">
        <f>S149+R150</f>
        <v/>
      </c>
    </row>
    <row r="151" ht="15.75" customHeight="1" s="94">
      <c r="A151" s="46" t="n">
        <v>150</v>
      </c>
      <c r="B151" s="47" t="inlineStr">
        <is>
          <t>SELL</t>
        </is>
      </c>
      <c r="C151" s="48" t="n">
        <v>46077</v>
      </c>
      <c r="D151" s="49" t="n">
        <v>12000</v>
      </c>
      <c r="E151" s="50" t="n">
        <v>867</v>
      </c>
      <c r="F151" s="50" t="n">
        <v>867</v>
      </c>
      <c r="G151" s="51" t="n">
        <v>-12.7</v>
      </c>
      <c r="H151" s="51" t="n">
        <v>-0.06</v>
      </c>
      <c r="I151" s="30" t="n">
        <v>1318.01000000001</v>
      </c>
      <c r="J151" s="51" t="n">
        <v>614.1</v>
      </c>
      <c r="K151" s="52">
        <f>IF(AND(B151="SELL",E151&gt;0,J151&lt;&gt;""),J151/E151,0)</f>
        <v/>
      </c>
      <c r="L151" s="52" t="n">
        <v>0.65</v>
      </c>
      <c r="M151" s="50">
        <f>IF(AND(B151="SELL",L151&gt;0),D151*L151,0)</f>
        <v/>
      </c>
      <c r="N151" s="46" t="n"/>
      <c r="O151" s="53">
        <f>IF(AND(B151="SELL",G151&lt;&gt;0),Q151/ABS(G151),0)</f>
        <v/>
      </c>
      <c r="P151" s="53">
        <f>IF(AND(B151="SELL",D151&gt;0),R151/D151,0)</f>
        <v/>
      </c>
      <c r="Q151" s="54">
        <f>IF(AND(B151="SELL",D151&gt;0,E151&gt;0),(D151/E151)+G151,0)</f>
        <v/>
      </c>
      <c r="R151" s="55">
        <f>IF(B151="SELL",Q151*F151,0)</f>
        <v/>
      </c>
      <c r="S151" s="35">
        <f>S150+R151</f>
        <v/>
      </c>
    </row>
    <row r="152" ht="15.75" customHeight="1" s="94">
      <c r="A152" s="36" t="n">
        <v>151</v>
      </c>
      <c r="B152" s="37" t="inlineStr">
        <is>
          <t>SELL</t>
        </is>
      </c>
      <c r="C152" s="38" t="n">
        <v>46077</v>
      </c>
      <c r="D152" s="39" t="n">
        <v>50000</v>
      </c>
      <c r="E152" s="40" t="n">
        <v>867</v>
      </c>
      <c r="F152" s="40" t="n">
        <v>867</v>
      </c>
      <c r="G152" s="41" t="n">
        <v>-52.97</v>
      </c>
      <c r="H152" s="41" t="n">
        <v>-0.06</v>
      </c>
      <c r="I152" s="19" t="n">
        <v>1264.98000000001</v>
      </c>
      <c r="J152" s="41" t="n">
        <v>613.501</v>
      </c>
      <c r="K152" s="42">
        <f>IF(AND(B152="SELL",E152&gt;0,J152&lt;&gt;""),J152/E152,0)</f>
        <v/>
      </c>
      <c r="L152" s="42" t="n">
        <v>0.65</v>
      </c>
      <c r="M152" s="40">
        <f>IF(AND(B152="SELL",L152&gt;0),D152*L152,0)</f>
        <v/>
      </c>
      <c r="N152" s="36" t="n"/>
      <c r="O152" s="43">
        <f>IF(AND(B152="SELL",G152&lt;&gt;0),Q152/ABS(G152),0)</f>
        <v/>
      </c>
      <c r="P152" s="43">
        <f>IF(AND(B152="SELL",D152&gt;0),R152/D152,0)</f>
        <v/>
      </c>
      <c r="Q152" s="44">
        <f>IF(AND(B152="SELL",D152&gt;0,E152&gt;0),(D152/E152)+G152,0)</f>
        <v/>
      </c>
      <c r="R152" s="45">
        <f>IF(B152="SELL",Q152*F152,0)</f>
        <v/>
      </c>
      <c r="S152" s="24">
        <f>S151+R152</f>
        <v/>
      </c>
    </row>
    <row r="153" ht="15.75" customHeight="1" s="94">
      <c r="A153" s="46" t="n">
        <v>152</v>
      </c>
      <c r="B153" s="47" t="inlineStr">
        <is>
          <t>SELL</t>
        </is>
      </c>
      <c r="C153" s="48" t="n">
        <v>46078</v>
      </c>
      <c r="D153" s="49" t="n">
        <v>20000</v>
      </c>
      <c r="E153" s="50" t="n">
        <v>867</v>
      </c>
      <c r="F153" s="50" t="n">
        <v>867</v>
      </c>
      <c r="G153" s="51" t="n">
        <v>-21.86</v>
      </c>
      <c r="H153" s="51" t="n">
        <v>-0.06</v>
      </c>
      <c r="I153" s="30" t="n">
        <v>1243.06000000001</v>
      </c>
      <c r="J153" s="51" t="n">
        <v>610.95</v>
      </c>
      <c r="K153" s="52">
        <f>IF(AND(B153="SELL",E153&gt;0,J153&lt;&gt;""),J153/E153,0)</f>
        <v/>
      </c>
      <c r="L153" s="52" t="n">
        <v>0.668</v>
      </c>
      <c r="M153" s="50">
        <f>IF(AND(B153="SELL",L153&gt;0),D153*L153,0)</f>
        <v/>
      </c>
      <c r="N153" s="46" t="n"/>
      <c r="O153" s="53">
        <f>IF(AND(B153="SELL",G153&lt;&gt;0),Q153/ABS(G153),0)</f>
        <v/>
      </c>
      <c r="P153" s="53">
        <f>IF(AND(B153="SELL",D153&gt;0),R153/D153,0)</f>
        <v/>
      </c>
      <c r="Q153" s="54">
        <f>IF(AND(B153="SELL",D153&gt;0,E153&gt;0),(D153/E153)+G153,0)</f>
        <v/>
      </c>
      <c r="R153" s="55">
        <f>IF(B153="SELL",Q153*F153,0)</f>
        <v/>
      </c>
      <c r="S153" s="35">
        <f>S152+R153</f>
        <v/>
      </c>
    </row>
    <row r="154" ht="15.75" customHeight="1" s="94">
      <c r="A154" s="36" t="n">
        <v>153</v>
      </c>
      <c r="B154" s="37" t="inlineStr">
        <is>
          <t>SELL</t>
        </is>
      </c>
      <c r="C154" s="38" t="n">
        <v>46078</v>
      </c>
      <c r="D154" s="39" t="n">
        <v>45000</v>
      </c>
      <c r="E154" s="40" t="n">
        <v>867</v>
      </c>
      <c r="F154" s="40" t="n">
        <v>867</v>
      </c>
      <c r="G154" s="41" t="n">
        <v>-49.55</v>
      </c>
      <c r="H154" s="41" t="n">
        <v>-0.06</v>
      </c>
      <c r="I154" s="19" t="n">
        <v>1193.45000000001</v>
      </c>
      <c r="J154" s="41" t="n">
        <v>606.63</v>
      </c>
      <c r="K154" s="42">
        <f>IF(AND(B154="SELL",E154&gt;0,J154&lt;&gt;""),J154/E154,0)</f>
        <v/>
      </c>
      <c r="L154" s="42" t="n">
        <v>0.668</v>
      </c>
      <c r="M154" s="40">
        <f>IF(AND(B154="SELL",L154&gt;0),D154*L154,0)</f>
        <v/>
      </c>
      <c r="N154" s="36" t="n"/>
      <c r="O154" s="43">
        <f>IF(AND(B154="SELL",G154&lt;&gt;0),Q154/ABS(G154),0)</f>
        <v/>
      </c>
      <c r="P154" s="43">
        <f>IF(AND(B154="SELL",D154&gt;0),R154/D154,0)</f>
        <v/>
      </c>
      <c r="Q154" s="44">
        <f>IF(AND(B154="SELL",D154&gt;0,E154&gt;0),(D154/E154)+G154,0)</f>
        <v/>
      </c>
      <c r="R154" s="45">
        <f>IF(B154="SELL",Q154*F154,0)</f>
        <v/>
      </c>
      <c r="S154" s="24">
        <f>S153+R154</f>
        <v/>
      </c>
    </row>
    <row r="155" ht="15.75" customHeight="1" s="94">
      <c r="A155" s="46" t="n">
        <v>154</v>
      </c>
      <c r="B155" s="47" t="inlineStr">
        <is>
          <t>SELL</t>
        </is>
      </c>
      <c r="C155" s="48" t="n">
        <v>46078</v>
      </c>
      <c r="D155" s="49" t="n">
        <v>50000</v>
      </c>
      <c r="E155" s="50" t="n">
        <v>867</v>
      </c>
      <c r="F155" s="50" t="n">
        <v>867</v>
      </c>
      <c r="G155" s="51" t="n">
        <v>-55.05</v>
      </c>
      <c r="H155" s="51" t="n">
        <v>-0.06</v>
      </c>
      <c r="I155" s="30" t="n">
        <v>1138.34000000001</v>
      </c>
      <c r="J155" s="51" t="n">
        <v>606.63</v>
      </c>
      <c r="K155" s="52">
        <f>IF(AND(B155="SELL",E155&gt;0,J155&lt;&gt;""),J155/E155,0)</f>
        <v/>
      </c>
      <c r="L155" s="52" t="n">
        <v>0.668</v>
      </c>
      <c r="M155" s="50">
        <f>IF(AND(B155="SELL",L155&gt;0),D155*L155,0)</f>
        <v/>
      </c>
      <c r="N155" s="46" t="n"/>
      <c r="O155" s="53">
        <f>IF(AND(B155="SELL",G155&lt;&gt;0),Q155/ABS(G155),0)</f>
        <v/>
      </c>
      <c r="P155" s="53">
        <f>IF(AND(B155="SELL",D155&gt;0),R155/D155,0)</f>
        <v/>
      </c>
      <c r="Q155" s="54">
        <f>IF(AND(B155="SELL",D155&gt;0,E155&gt;0),(D155/E155)+G155,0)</f>
        <v/>
      </c>
      <c r="R155" s="55">
        <f>IF(B155="SELL",Q155*F155,0)</f>
        <v/>
      </c>
      <c r="S155" s="35">
        <f>S154+R155</f>
        <v/>
      </c>
    </row>
    <row r="156" ht="15.75" customHeight="1" s="94">
      <c r="A156" s="36" t="n">
        <v>155</v>
      </c>
      <c r="B156" s="37" t="inlineStr">
        <is>
          <t>SELL</t>
        </is>
      </c>
      <c r="C156" s="38" t="n">
        <v>46079</v>
      </c>
      <c r="D156" s="39" t="n">
        <v>15000</v>
      </c>
      <c r="E156" s="40" t="n">
        <v>867</v>
      </c>
      <c r="F156" s="40" t="n">
        <v>867</v>
      </c>
      <c r="G156" s="41" t="n">
        <v>-16.22</v>
      </c>
      <c r="H156" s="41" t="n">
        <v>-0.06</v>
      </c>
      <c r="I156" s="19" t="n">
        <v>1122.06000000001</v>
      </c>
      <c r="J156" s="41" t="n">
        <v>608.4299999999999</v>
      </c>
      <c r="K156" s="42">
        <f>IF(AND(B156="SELL",E156&gt;0,J156&lt;&gt;""),J156/E156,0)</f>
        <v/>
      </c>
      <c r="L156" s="42" t="n">
        <v>0.658</v>
      </c>
      <c r="M156" s="40">
        <f>IF(AND(B156="SELL",L156&gt;0),D156*L156,0)</f>
        <v/>
      </c>
      <c r="N156" s="36" t="n"/>
      <c r="O156" s="43">
        <f>IF(AND(B156="SELL",G156&lt;&gt;0),Q156/ABS(G156),0)</f>
        <v/>
      </c>
      <c r="P156" s="43">
        <f>IF(AND(B156="SELL",D156&gt;0),R156/D156,0)</f>
        <v/>
      </c>
      <c r="Q156" s="44">
        <f>IF(AND(B156="SELL",D156&gt;0,E156&gt;0),(D156/E156)+G156,0)</f>
        <v/>
      </c>
      <c r="R156" s="45">
        <f>IF(B156="SELL",Q156*F156,0)</f>
        <v/>
      </c>
      <c r="S156" s="24">
        <f>S155+R156</f>
        <v/>
      </c>
    </row>
    <row r="157" ht="15.75" customHeight="1" s="94">
      <c r="A157" s="46" t="n">
        <v>156</v>
      </c>
      <c r="B157" s="47" t="inlineStr">
        <is>
          <t>SELL</t>
        </is>
      </c>
      <c r="C157" s="48" t="n">
        <v>46079</v>
      </c>
      <c r="D157" s="49" t="n">
        <v>50000</v>
      </c>
      <c r="E157" s="50" t="n">
        <v>867</v>
      </c>
      <c r="F157" s="50" t="n">
        <v>867</v>
      </c>
      <c r="G157" s="51" t="n">
        <v>-53.8</v>
      </c>
      <c r="H157" s="51" t="n">
        <v>-0.06</v>
      </c>
      <c r="I157" s="30" t="n">
        <v>1068.20000000001</v>
      </c>
      <c r="J157" s="51" t="n">
        <v>611.502</v>
      </c>
      <c r="K157" s="52">
        <f>IF(AND(B157="SELL",E157&gt;0,J157&lt;&gt;""),J157/E157,0)</f>
        <v/>
      </c>
      <c r="L157" s="52" t="n">
        <v>0.658</v>
      </c>
      <c r="M157" s="50">
        <f>IF(AND(B157="SELL",L157&gt;0),D157*L157,0)</f>
        <v/>
      </c>
      <c r="N157" s="46" t="n"/>
      <c r="O157" s="53">
        <f>IF(AND(B157="SELL",G157&lt;&gt;0),Q157/ABS(G157),0)</f>
        <v/>
      </c>
      <c r="P157" s="53">
        <f>IF(AND(B157="SELL",D157&gt;0),R157/D157,0)</f>
        <v/>
      </c>
      <c r="Q157" s="54">
        <f>IF(AND(B157="SELL",D157&gt;0,E157&gt;0),(D157/E157)+G157,0)</f>
        <v/>
      </c>
      <c r="R157" s="55">
        <f>IF(B157="SELL",Q157*F157,0)</f>
        <v/>
      </c>
      <c r="S157" s="35">
        <f>S156+R157</f>
        <v/>
      </c>
    </row>
    <row r="158" ht="15.75" customHeight="1" s="94">
      <c r="A158" s="36" t="n">
        <v>157</v>
      </c>
      <c r="B158" s="37" t="inlineStr">
        <is>
          <t>SELL</t>
        </is>
      </c>
      <c r="C158" s="38" t="n">
        <v>46079</v>
      </c>
      <c r="D158" s="39" t="n">
        <v>20000</v>
      </c>
      <c r="E158" s="40" t="n">
        <v>867</v>
      </c>
      <c r="F158" s="40" t="n">
        <v>867</v>
      </c>
      <c r="G158" s="41" t="n">
        <v>-21.63</v>
      </c>
      <c r="H158" s="41" t="n">
        <v>-0.06</v>
      </c>
      <c r="I158" s="19" t="n">
        <v>1046.51000000001</v>
      </c>
      <c r="J158" s="41" t="n">
        <v>608.341</v>
      </c>
      <c r="K158" s="42">
        <f>IF(AND(B158="SELL",E158&gt;0,J158&lt;&gt;""),J158/E158,0)</f>
        <v/>
      </c>
      <c r="L158" s="42" t="n">
        <v>0.658</v>
      </c>
      <c r="M158" s="40">
        <f>IF(AND(B158="SELL",L158&gt;0),D158*L158,0)</f>
        <v/>
      </c>
      <c r="N158" s="36" t="n"/>
      <c r="O158" s="43">
        <f>IF(AND(B158="SELL",G158&lt;&gt;0),Q158/ABS(G158),0)</f>
        <v/>
      </c>
      <c r="P158" s="43">
        <f>IF(AND(B158="SELL",D158&gt;0),R158/D158,0)</f>
        <v/>
      </c>
      <c r="Q158" s="44">
        <f>IF(AND(B158="SELL",D158&gt;0,E158&gt;0),(D158/E158)+G158,0)</f>
        <v/>
      </c>
      <c r="R158" s="45">
        <f>IF(B158="SELL",Q158*F158,0)</f>
        <v/>
      </c>
      <c r="S158" s="24">
        <f>S157+R158</f>
        <v/>
      </c>
    </row>
    <row r="159" ht="15.75" customHeight="1" s="94">
      <c r="A159" s="46" t="n">
        <v>158</v>
      </c>
      <c r="B159" s="47" t="inlineStr">
        <is>
          <t>SELL</t>
        </is>
      </c>
      <c r="C159" s="48" t="n">
        <v>46079</v>
      </c>
      <c r="D159" s="49" t="n">
        <v>10000</v>
      </c>
      <c r="E159" s="50" t="n">
        <v>867</v>
      </c>
      <c r="F159" s="50" t="n">
        <v>867</v>
      </c>
      <c r="G159" s="51" t="n">
        <v>-10.81</v>
      </c>
      <c r="H159" s="51" t="n">
        <v>-0.06</v>
      </c>
      <c r="I159" s="30" t="n">
        <v>1035.64000000001</v>
      </c>
      <c r="J159" s="51" t="n">
        <v>608.29</v>
      </c>
      <c r="K159" s="52">
        <f>IF(AND(B159="SELL",E159&gt;0,J159&lt;&gt;""),J159/E159,0)</f>
        <v/>
      </c>
      <c r="L159" s="52" t="n">
        <v>0.658</v>
      </c>
      <c r="M159" s="50">
        <f>IF(AND(B159="SELL",L159&gt;0),D159*L159,0)</f>
        <v/>
      </c>
      <c r="N159" s="46" t="n"/>
      <c r="O159" s="53">
        <f>IF(AND(B159="SELL",G159&lt;&gt;0),Q159/ABS(G159),0)</f>
        <v/>
      </c>
      <c r="P159" s="53">
        <f>IF(AND(B159="SELL",D159&gt;0),R159/D159,0)</f>
        <v/>
      </c>
      <c r="Q159" s="54">
        <f>IF(AND(B159="SELL",D159&gt;0,E159&gt;0),(D159/E159)+G159,0)</f>
        <v/>
      </c>
      <c r="R159" s="55">
        <f>IF(B159="SELL",Q159*F159,0)</f>
        <v/>
      </c>
      <c r="S159" s="35">
        <f>S158+R159</f>
        <v/>
      </c>
    </row>
    <row r="160" ht="15.75" customHeight="1" s="94">
      <c r="A160" s="36" t="n">
        <v>159</v>
      </c>
      <c r="B160" s="37" t="inlineStr">
        <is>
          <t>SELL</t>
        </is>
      </c>
      <c r="C160" s="38" t="n">
        <v>46080</v>
      </c>
      <c r="D160" s="39" t="n">
        <v>200000</v>
      </c>
      <c r="E160" s="40" t="n">
        <v>867</v>
      </c>
      <c r="F160" s="40" t="n">
        <v>867</v>
      </c>
      <c r="G160" s="41" t="n">
        <v>-218.2</v>
      </c>
      <c r="H160" s="41" t="n">
        <v>-0.06</v>
      </c>
      <c r="I160" s="19" t="n">
        <v>817.380000000006</v>
      </c>
      <c r="J160" s="41" t="n">
        <v>606.772</v>
      </c>
      <c r="K160" s="42">
        <f>IF(AND(B160="SELL",E160&gt;0,J160&lt;&gt;""),J160/E160,0)</f>
        <v/>
      </c>
      <c r="L160" s="42" t="n">
        <v>0.661</v>
      </c>
      <c r="M160" s="40">
        <f>IF(AND(B160="SELL",L160&gt;0),D160*L160,0)</f>
        <v/>
      </c>
      <c r="N160" s="36" t="n"/>
      <c r="O160" s="43">
        <f>IF(AND(B160="SELL",G160&lt;&gt;0),Q160/ABS(G160),0)</f>
        <v/>
      </c>
      <c r="P160" s="43">
        <f>IF(AND(B160="SELL",D160&gt;0),R160/D160,0)</f>
        <v/>
      </c>
      <c r="Q160" s="44">
        <f>IF(AND(B160="SELL",D160&gt;0,E160&gt;0),(D160/E160)+G160,0)</f>
        <v/>
      </c>
      <c r="R160" s="45">
        <f>IF(B160="SELL",Q160*F160,0)</f>
        <v/>
      </c>
      <c r="S160" s="24">
        <f>S159+R160</f>
        <v/>
      </c>
    </row>
    <row r="161" ht="15.75" customHeight="1" s="94">
      <c r="A161" s="46" t="n">
        <v>160</v>
      </c>
      <c r="B161" s="47" t="inlineStr">
        <is>
          <t>SELL</t>
        </is>
      </c>
      <c r="C161" s="48" t="n">
        <v>46080</v>
      </c>
      <c r="D161" s="49" t="n">
        <v>100000</v>
      </c>
      <c r="E161" s="50" t="n">
        <v>867</v>
      </c>
      <c r="F161" s="50" t="n">
        <v>867</v>
      </c>
      <c r="G161" s="51" t="n">
        <v>-109.98</v>
      </c>
      <c r="H161" s="51" t="n">
        <v>-0.06</v>
      </c>
      <c r="I161" s="30" t="n">
        <v>707.3400000000059</v>
      </c>
      <c r="J161" s="51" t="n">
        <v>601</v>
      </c>
      <c r="K161" s="52">
        <f>IF(AND(B161="SELL",E161&gt;0,J161&lt;&gt;""),J161/E161,0)</f>
        <v/>
      </c>
      <c r="L161" s="52" t="n">
        <v>0.661</v>
      </c>
      <c r="M161" s="50">
        <f>IF(AND(B161="SELL",L161&gt;0),D161*L161,0)</f>
        <v/>
      </c>
      <c r="N161" s="46" t="n"/>
      <c r="O161" s="53">
        <f>IF(AND(B161="SELL",G161&lt;&gt;0),Q161/ABS(G161),0)</f>
        <v/>
      </c>
      <c r="P161" s="53">
        <f>IF(AND(B161="SELL",D161&gt;0),R161/D161,0)</f>
        <v/>
      </c>
      <c r="Q161" s="54">
        <f>IF(AND(B161="SELL",D161&gt;0,E161&gt;0),(D161/E161)+G161,0)</f>
        <v/>
      </c>
      <c r="R161" s="55">
        <f>IF(B161="SELL",Q161*F161,0)</f>
        <v/>
      </c>
      <c r="S161" s="35">
        <f>S160+R161</f>
        <v/>
      </c>
    </row>
    <row r="162" ht="15.75" customHeight="1" s="94">
      <c r="A162" s="36" t="n">
        <v>161</v>
      </c>
      <c r="B162" s="37" t="inlineStr">
        <is>
          <t>SELL</t>
        </is>
      </c>
      <c r="C162" s="38" t="n">
        <v>46080</v>
      </c>
      <c r="D162" s="39" t="n">
        <v>100000</v>
      </c>
      <c r="E162" s="40" t="n">
        <v>867</v>
      </c>
      <c r="F162" s="40" t="n">
        <v>867</v>
      </c>
      <c r="G162" s="41" t="n">
        <v>-109.77</v>
      </c>
      <c r="H162" s="41" t="n">
        <v>-0.06</v>
      </c>
      <c r="I162" s="19" t="n">
        <v>597.510000000006</v>
      </c>
      <c r="J162" s="41" t="n">
        <v>602.15</v>
      </c>
      <c r="K162" s="42">
        <f>IF(AND(B162="SELL",E162&gt;0,J162&lt;&gt;""),J162/E162,0)</f>
        <v/>
      </c>
      <c r="L162" s="42" t="n">
        <v>0.661</v>
      </c>
      <c r="M162" s="40">
        <f>IF(AND(B162="SELL",L162&gt;0),D162*L162,0)</f>
        <v/>
      </c>
      <c r="N162" s="36" t="n"/>
      <c r="O162" s="43">
        <f>IF(AND(B162="SELL",G162&lt;&gt;0),Q162/ABS(G162),0)</f>
        <v/>
      </c>
      <c r="P162" s="43">
        <f>IF(AND(B162="SELL",D162&gt;0),R162/D162,0)</f>
        <v/>
      </c>
      <c r="Q162" s="44">
        <f>IF(AND(B162="SELL",D162&gt;0,E162&gt;0),(D162/E162)+G162,0)</f>
        <v/>
      </c>
      <c r="R162" s="45">
        <f>IF(B162="SELL",Q162*F162,0)</f>
        <v/>
      </c>
      <c r="S162" s="24">
        <f>S161+R162</f>
        <v/>
      </c>
    </row>
    <row r="163" ht="15.75" customHeight="1" s="94">
      <c r="A163" s="46" t="n">
        <v>162</v>
      </c>
      <c r="B163" s="47" t="inlineStr">
        <is>
          <t>SELL</t>
        </is>
      </c>
      <c r="C163" s="48" t="n">
        <v>46080</v>
      </c>
      <c r="D163" s="49" t="n">
        <v>12000</v>
      </c>
      <c r="E163" s="50" t="n">
        <v>867</v>
      </c>
      <c r="F163" s="50" t="n">
        <v>867</v>
      </c>
      <c r="G163" s="51" t="n">
        <v>-13.27</v>
      </c>
      <c r="H163" s="51" t="n">
        <v>-0.06</v>
      </c>
      <c r="I163" s="30" t="n">
        <v>584.180000000006</v>
      </c>
      <c r="J163" s="51" t="n">
        <v>597.62</v>
      </c>
      <c r="K163" s="52">
        <f>IF(AND(B163="SELL",E163&gt;0,J163&lt;&gt;""),J163/E163,0)</f>
        <v/>
      </c>
      <c r="L163" s="52" t="n">
        <v>0.661</v>
      </c>
      <c r="M163" s="50">
        <f>IF(AND(B163="SELL",L163&gt;0),D163*L163,0)</f>
        <v/>
      </c>
      <c r="N163" s="46" t="n"/>
      <c r="O163" s="53">
        <f>IF(AND(B163="SELL",G163&lt;&gt;0),Q163/ABS(G163),0)</f>
        <v/>
      </c>
      <c r="P163" s="53">
        <f>IF(AND(B163="SELL",D163&gt;0),R163/D163,0)</f>
        <v/>
      </c>
      <c r="Q163" s="54">
        <f>IF(AND(B163="SELL",D163&gt;0,E163&gt;0),(D163/E163)+G163,0)</f>
        <v/>
      </c>
      <c r="R163" s="55">
        <f>IF(B163="SELL",Q163*F163,0)</f>
        <v/>
      </c>
      <c r="S163" s="35">
        <f>S162+R163</f>
        <v/>
      </c>
    </row>
    <row r="164" ht="15.75" customHeight="1" s="94">
      <c r="A164" s="14" t="n">
        <v>163</v>
      </c>
      <c r="B164" s="15" t="inlineStr">
        <is>
          <t>BUY</t>
        </is>
      </c>
      <c r="C164" s="16" t="n">
        <v>46080</v>
      </c>
      <c r="D164" s="17" t="n">
        <v>2418000</v>
      </c>
      <c r="E164" s="18" t="n">
        <v>880.47</v>
      </c>
      <c r="F164" s="18" t="n">
        <v>880.47</v>
      </c>
      <c r="G164" s="19" t="n">
        <v>2746.26</v>
      </c>
      <c r="H164" s="19" t="n">
        <v>-0.06</v>
      </c>
      <c r="I164" s="19" t="n">
        <v>3330.38000000001</v>
      </c>
      <c r="J164" s="19" t="n"/>
      <c r="K164" s="20">
        <f>IF(AND(B164="SELL",E164&gt;0,J164&lt;&gt;""),J164/E164,0)</f>
        <v/>
      </c>
      <c r="L164" s="20" t="n"/>
      <c r="M164" s="18">
        <f>IF(AND(B164="SELL",L164&gt;0),D164*L164,0)</f>
        <v/>
      </c>
      <c r="N164" s="14" t="n"/>
      <c r="O164" s="21">
        <f>IF(AND(B164="SELL",G164&lt;&gt;0),Q164/ABS(G164),0)</f>
        <v/>
      </c>
      <c r="P164" s="21">
        <f>IF(AND(B164="SELL",D164&gt;0),R164/D164,0)</f>
        <v/>
      </c>
      <c r="Q164" s="22">
        <f>IF(AND(B164="SELL",D164&gt;0,E164&gt;0),(D164/E164)+G164,0)</f>
        <v/>
      </c>
      <c r="R164" s="23">
        <f>IF(B164="SELL",Q164*F164,0)</f>
        <v/>
      </c>
      <c r="S164" s="24">
        <f>S163+R164</f>
        <v/>
      </c>
    </row>
    <row r="165" ht="15.75" customHeight="1" s="94">
      <c r="A165" s="46" t="n">
        <v>164</v>
      </c>
      <c r="B165" s="47" t="inlineStr">
        <is>
          <t>SELL</t>
        </is>
      </c>
      <c r="C165" s="48" t="n">
        <v>46080</v>
      </c>
      <c r="D165" s="49" t="n">
        <v>701000</v>
      </c>
      <c r="E165" s="50" t="n">
        <v>880.47</v>
      </c>
      <c r="F165" s="50" t="n">
        <v>880.47</v>
      </c>
      <c r="G165" s="51" t="n">
        <v>-760.03</v>
      </c>
      <c r="H165" s="51" t="n">
        <v>-0.06</v>
      </c>
      <c r="I165" s="30" t="n">
        <v>2570.29000000001</v>
      </c>
      <c r="J165" s="51" t="n">
        <v>604.12</v>
      </c>
      <c r="K165" s="52">
        <f>IF(AND(B165="SELL",E165&gt;0,J165&lt;&gt;""),J165/E165,0)</f>
        <v/>
      </c>
      <c r="L165" s="52" t="n">
        <v>0.655</v>
      </c>
      <c r="M165" s="50">
        <f>IF(AND(B165="SELL",L165&gt;0),D165*L165,0)</f>
        <v/>
      </c>
      <c r="N165" s="46" t="n"/>
      <c r="O165" s="53">
        <f>IF(AND(B165="SELL",G165&lt;&gt;0),Q165/ABS(G165),0)</f>
        <v/>
      </c>
      <c r="P165" s="53">
        <f>IF(AND(B165="SELL",D165&gt;0),R165/D165,0)</f>
        <v/>
      </c>
      <c r="Q165" s="54">
        <f>IF(AND(B165="SELL",D165&gt;0,E165&gt;0),(D165/E165)+G165,0)</f>
        <v/>
      </c>
      <c r="R165" s="55">
        <f>IF(B165="SELL",Q165*F165,0)</f>
        <v/>
      </c>
      <c r="S165" s="35">
        <f>S164+R165</f>
        <v/>
      </c>
    </row>
    <row r="166" ht="15.75" customHeight="1" s="94">
      <c r="A166" s="36" t="n">
        <v>165</v>
      </c>
      <c r="B166" s="37" t="inlineStr">
        <is>
          <t>SELL</t>
        </is>
      </c>
      <c r="C166" s="38" t="n">
        <v>46080</v>
      </c>
      <c r="D166" s="39" t="n">
        <v>15000</v>
      </c>
      <c r="E166" s="40" t="n">
        <v>880.47</v>
      </c>
      <c r="F166" s="40" t="n">
        <v>880.47</v>
      </c>
      <c r="G166" s="41" t="n">
        <v>-16.33</v>
      </c>
      <c r="H166" s="41" t="n">
        <v>-0.06</v>
      </c>
      <c r="I166" s="19" t="n">
        <v>2553.90000000001</v>
      </c>
      <c r="J166" s="41" t="n">
        <v>599.8</v>
      </c>
      <c r="K166" s="42">
        <f>IF(AND(B166="SELL",E166&gt;0,J166&lt;&gt;""),J166/E166,0)</f>
        <v/>
      </c>
      <c r="L166" s="42" t="n">
        <v>0.653</v>
      </c>
      <c r="M166" s="40">
        <f>IF(AND(B166="SELL",L166&gt;0),D166*L166,0)</f>
        <v/>
      </c>
      <c r="N166" s="36" t="n"/>
      <c r="O166" s="43">
        <f>IF(AND(B166="SELL",G166&lt;&gt;0),Q166/ABS(G166),0)</f>
        <v/>
      </c>
      <c r="P166" s="43">
        <f>IF(AND(B166="SELL",D166&gt;0),R166/D166,0)</f>
        <v/>
      </c>
      <c r="Q166" s="44">
        <f>IF(AND(B166="SELL",D166&gt;0,E166&gt;0),(D166/E166)+G166,0)</f>
        <v/>
      </c>
      <c r="R166" s="45">
        <f>IF(B166="SELL",Q166*F166,0)</f>
        <v/>
      </c>
      <c r="S166" s="24">
        <f>S165+R166</f>
        <v/>
      </c>
    </row>
    <row r="167" ht="15.75" customHeight="1" s="94">
      <c r="A167" s="46" t="n">
        <v>166</v>
      </c>
      <c r="B167" s="47" t="inlineStr">
        <is>
          <t>SELL</t>
        </is>
      </c>
      <c r="C167" s="48" t="n">
        <v>46081</v>
      </c>
      <c r="D167" s="49" t="n">
        <v>20000</v>
      </c>
      <c r="E167" s="50" t="n">
        <v>880.47</v>
      </c>
      <c r="F167" s="50" t="n">
        <v>880.47</v>
      </c>
      <c r="G167" s="51" t="n">
        <v>-21.46</v>
      </c>
      <c r="H167" s="51" t="n">
        <v>-0.06</v>
      </c>
      <c r="I167" s="30" t="n">
        <v>2532.38000000001</v>
      </c>
      <c r="J167" s="51" t="n">
        <v>601</v>
      </c>
      <c r="K167" s="52">
        <f>IF(AND(B167="SELL",E167&gt;0,J167&lt;&gt;""),J167/E167,0)</f>
        <v/>
      </c>
      <c r="L167" s="52" t="n">
        <v>0.645</v>
      </c>
      <c r="M167" s="50">
        <f>IF(AND(B167="SELL",L167&gt;0),D167*L167,0)</f>
        <v/>
      </c>
      <c r="N167" s="46" t="n"/>
      <c r="O167" s="53">
        <f>IF(AND(B167="SELL",G167&lt;&gt;0),Q167/ABS(G167),0)</f>
        <v/>
      </c>
      <c r="P167" s="53">
        <f>IF(AND(B167="SELL",D167&gt;0),R167/D167,0)</f>
        <v/>
      </c>
      <c r="Q167" s="54">
        <f>IF(AND(B167="SELL",D167&gt;0,E167&gt;0),(D167/E167)+G167,0)</f>
        <v/>
      </c>
      <c r="R167" s="55">
        <f>IF(B167="SELL",Q167*F167,0)</f>
        <v/>
      </c>
      <c r="S167" s="35">
        <f>S166+R167</f>
        <v/>
      </c>
    </row>
    <row r="168" ht="15.75" customHeight="1" s="94">
      <c r="A168" s="36" t="n">
        <v>167</v>
      </c>
      <c r="B168" s="37" t="inlineStr">
        <is>
          <t>SELL</t>
        </is>
      </c>
      <c r="C168" s="38" t="n">
        <v>46081</v>
      </c>
      <c r="D168" s="39" t="n">
        <v>250000</v>
      </c>
      <c r="E168" s="40" t="n">
        <v>880.47</v>
      </c>
      <c r="F168" s="40" t="n">
        <v>880.47</v>
      </c>
      <c r="G168" s="41" t="n">
        <v>-266.99</v>
      </c>
      <c r="H168" s="41" t="n">
        <v>-0.06</v>
      </c>
      <c r="I168" s="19" t="n">
        <v>2265.33000000001</v>
      </c>
      <c r="J168" s="41" t="n">
        <v>604.881</v>
      </c>
      <c r="K168" s="42">
        <f>IF(AND(B168="SELL",E168&gt;0,J168&lt;&gt;""),J168/E168,0)</f>
        <v/>
      </c>
      <c r="L168" s="42" t="n">
        <v>0.646</v>
      </c>
      <c r="M168" s="40">
        <f>IF(AND(B168="SELL",L168&gt;0),D168*L168,0)</f>
        <v/>
      </c>
      <c r="N168" s="36" t="n"/>
      <c r="O168" s="43">
        <f>IF(AND(B168="SELL",G168&lt;&gt;0),Q168/ABS(G168),0)</f>
        <v/>
      </c>
      <c r="P168" s="43">
        <f>IF(AND(B168="SELL",D168&gt;0),R168/D168,0)</f>
        <v/>
      </c>
      <c r="Q168" s="44">
        <f>IF(AND(B168="SELL",D168&gt;0,E168&gt;0),(D168/E168)+G168,0)</f>
        <v/>
      </c>
      <c r="R168" s="45">
        <f>IF(B168="SELL",Q168*F168,0)</f>
        <v/>
      </c>
      <c r="S168" s="24">
        <f>S167+R168</f>
        <v/>
      </c>
    </row>
    <row r="169" ht="15.75" customHeight="1" s="94">
      <c r="A169" s="46" t="n">
        <v>168</v>
      </c>
      <c r="B169" s="47" t="inlineStr">
        <is>
          <t>SELL</t>
        </is>
      </c>
      <c r="C169" s="48" t="n">
        <v>46081</v>
      </c>
      <c r="D169" s="49" t="n">
        <v>30000</v>
      </c>
      <c r="E169" s="50" t="n">
        <v>880.47</v>
      </c>
      <c r="F169" s="50" t="n">
        <v>880.47</v>
      </c>
      <c r="G169" s="51" t="n">
        <v>-32.15</v>
      </c>
      <c r="H169" s="51" t="n">
        <v>-0.06</v>
      </c>
      <c r="I169" s="30" t="n">
        <v>2233.12000000001</v>
      </c>
      <c r="J169" s="51" t="n">
        <v>602.765</v>
      </c>
      <c r="K169" s="52">
        <f>IF(AND(B169="SELL",E169&gt;0,J169&lt;&gt;""),J169/E169,0)</f>
        <v/>
      </c>
      <c r="L169" s="52" t="n">
        <v>0.646</v>
      </c>
      <c r="M169" s="50">
        <f>IF(AND(B169="SELL",L169&gt;0),D169*L169,0)</f>
        <v/>
      </c>
      <c r="N169" s="46" t="n"/>
      <c r="O169" s="53">
        <f>IF(AND(B169="SELL",G169&lt;&gt;0),Q169/ABS(G169),0)</f>
        <v/>
      </c>
      <c r="P169" s="53">
        <f>IF(AND(B169="SELL",D169&gt;0),R169/D169,0)</f>
        <v/>
      </c>
      <c r="Q169" s="54">
        <f>IF(AND(B169="SELL",D169&gt;0,E169&gt;0),(D169/E169)+G169,0)</f>
        <v/>
      </c>
      <c r="R169" s="55">
        <f>IF(B169="SELL",Q169*F169,0)</f>
        <v/>
      </c>
      <c r="S169" s="35">
        <f>S168+R169</f>
        <v/>
      </c>
    </row>
    <row r="170" ht="15.75" customHeight="1" s="94">
      <c r="A170" s="36" t="n">
        <v>169</v>
      </c>
      <c r="B170" s="37" t="inlineStr">
        <is>
          <t>SELL</t>
        </is>
      </c>
      <c r="C170" s="38" t="n">
        <v>46081</v>
      </c>
      <c r="D170" s="39" t="n">
        <v>27000</v>
      </c>
      <c r="E170" s="40" t="n">
        <v>880.47</v>
      </c>
      <c r="F170" s="40" t="n">
        <v>880.47</v>
      </c>
      <c r="G170" s="41" t="n">
        <v>-28.95</v>
      </c>
      <c r="H170" s="41" t="n">
        <v>-0.06</v>
      </c>
      <c r="I170" s="19" t="n">
        <v>2204.11000000001</v>
      </c>
      <c r="J170" s="41" t="n">
        <v>601.04</v>
      </c>
      <c r="K170" s="42">
        <f>IF(AND(B170="SELL",E170&gt;0,J170&lt;&gt;""),J170/E170,0)</f>
        <v/>
      </c>
      <c r="L170" s="42" t="n">
        <v>0.645</v>
      </c>
      <c r="M170" s="40">
        <f>IF(AND(B170="SELL",L170&gt;0),D170*L170,0)</f>
        <v/>
      </c>
      <c r="N170" s="36" t="n"/>
      <c r="O170" s="43">
        <f>IF(AND(B170="SELL",G170&lt;&gt;0),Q170/ABS(G170),0)</f>
        <v/>
      </c>
      <c r="P170" s="43">
        <f>IF(AND(B170="SELL",D170&gt;0),R170/D170,0)</f>
        <v/>
      </c>
      <c r="Q170" s="44">
        <f>IF(AND(B170="SELL",D170&gt;0,E170&gt;0),(D170/E170)+G170,0)</f>
        <v/>
      </c>
      <c r="R170" s="45">
        <f>IF(B170="SELL",Q170*F170,0)</f>
        <v/>
      </c>
      <c r="S170" s="24">
        <f>S169+R170</f>
        <v/>
      </c>
    </row>
    <row r="171" ht="15.75" customHeight="1" s="94">
      <c r="A171" s="46" t="n">
        <v>170</v>
      </c>
      <c r="B171" s="47" t="inlineStr">
        <is>
          <t>SELL</t>
        </is>
      </c>
      <c r="C171" s="48" t="n">
        <v>46081</v>
      </c>
      <c r="D171" s="49" t="n">
        <v>20000</v>
      </c>
      <c r="E171" s="50" t="n">
        <v>880.47</v>
      </c>
      <c r="F171" s="50" t="n">
        <v>880.47</v>
      </c>
      <c r="G171" s="51" t="n">
        <v>-21.63</v>
      </c>
      <c r="H171" s="51" t="n">
        <v>-0.06</v>
      </c>
      <c r="I171" s="30" t="n">
        <v>2182.42000000001</v>
      </c>
      <c r="J171" s="51" t="n">
        <v>596.3</v>
      </c>
      <c r="K171" s="52">
        <f>IF(AND(B171="SELL",E171&gt;0,J171&lt;&gt;""),J171/E171,0)</f>
        <v/>
      </c>
      <c r="L171" s="52" t="n">
        <v>0.645</v>
      </c>
      <c r="M171" s="50">
        <f>IF(AND(B171="SELL",L171&gt;0),D171*L171,0)</f>
        <v/>
      </c>
      <c r="N171" s="46" t="n"/>
      <c r="O171" s="53">
        <f>IF(AND(B171="SELL",G171&lt;&gt;0),Q171/ABS(G171),0)</f>
        <v/>
      </c>
      <c r="P171" s="53">
        <f>IF(AND(B171="SELL",D171&gt;0),R171/D171,0)</f>
        <v/>
      </c>
      <c r="Q171" s="54">
        <f>IF(AND(B171="SELL",D171&gt;0,E171&gt;0),(D171/E171)+G171,0)</f>
        <v/>
      </c>
      <c r="R171" s="55">
        <f>IF(B171="SELL",Q171*F171,0)</f>
        <v/>
      </c>
      <c r="S171" s="35">
        <f>S170+R171</f>
        <v/>
      </c>
    </row>
    <row r="173" ht="21.75" customHeight="1" s="94">
      <c r="A173" s="95" t="inlineStr">
        <is>
          <t>TOTALES — Febrero 2026</t>
        </is>
      </c>
      <c r="D173" s="56">
        <f>SUMIF(B2:B171,"SELL",D2:D171)</f>
        <v/>
      </c>
      <c r="G173" s="57">
        <f>COUNTIF(B2:B171,"SELL")</f>
        <v/>
      </c>
      <c r="I173" s="58">
        <f>I171</f>
        <v/>
      </c>
      <c r="Q173" s="58">
        <f>SUM(Q2:Q171)</f>
        <v/>
      </c>
      <c r="R173" s="59">
        <f>SUMIF(B2:B171,"SELL",R2:R171)</f>
        <v/>
      </c>
      <c r="S173" s="59">
        <f>S171</f>
        <v/>
      </c>
    </row>
  </sheetData>
  <mergeCells count="1">
    <mergeCell ref="A173:C173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5"/>
  <sheetViews>
    <sheetView showGridLines="0" tabSelected="1" zoomScaleNormal="100" workbookViewId="0">
      <pane ySplit="1" topLeftCell="A118" activePane="bottomLeft" state="frozen"/>
      <selection pane="bottomLeft" activeCell="I132" sqref="I132:I134"/>
    </sheetView>
  </sheetViews>
  <sheetFormatPr baseColWidth="10" defaultColWidth="8.6640625" defaultRowHeight="14.25"/>
  <cols>
    <col width="5" customWidth="1" style="94" min="1" max="1"/>
    <col width="8" customWidth="1" style="94" min="2" max="2"/>
    <col width="11" customWidth="1" style="94" min="3" max="3"/>
    <col width="13" customWidth="1" style="94" min="4" max="6"/>
    <col width="10" customWidth="1" style="94" min="7" max="8"/>
    <col width="13" customWidth="1" style="94" min="9" max="10"/>
    <col width="11" customWidth="1" style="94" min="11" max="12"/>
    <col width="13" customWidth="1" style="94" min="13" max="13"/>
    <col width="20" customWidth="1" style="94" min="14" max="14"/>
    <col width="10" customWidth="1" style="94" min="15" max="16"/>
    <col width="13" customWidth="1" style="94" min="17" max="18"/>
    <col width="15" customWidth="1" style="94" min="19" max="19"/>
  </cols>
  <sheetData>
    <row r="1" ht="21.75" customHeight="1" s="94">
      <c r="A1" s="2" t="inlineStr">
        <is>
          <t>N°</t>
        </is>
      </c>
      <c r="B1" s="2" t="inlineStr">
        <is>
          <t>Tipo</t>
        </is>
      </c>
      <c r="C1" s="2" t="inlineStr">
        <is>
          <t>Fecha</t>
        </is>
      </c>
      <c r="D1" s="2" t="inlineStr">
        <is>
          <t>Monto CLP</t>
        </is>
      </c>
      <c r="E1" s="2" t="inlineStr">
        <is>
          <t>USDT/CLP Compra</t>
        </is>
      </c>
      <c r="F1" s="2" t="inlineStr">
        <is>
          <t>USDT/CLP Venta</t>
        </is>
      </c>
      <c r="G1" s="2" t="inlineStr">
        <is>
          <t>USDT Mov</t>
        </is>
      </c>
      <c r="H1" s="2" t="inlineStr">
        <is>
          <t>Tax Binance</t>
        </is>
      </c>
      <c r="I1" s="2" t="inlineStr">
        <is>
          <t>Capital USDT</t>
        </is>
      </c>
      <c r="J1" s="2" t="inlineStr">
        <is>
          <t>Tasa Destino</t>
        </is>
      </c>
      <c r="K1" s="2" t="inlineStr">
        <is>
          <t>Tasa Real</t>
        </is>
      </c>
      <c r="L1" s="2" t="inlineStr">
        <is>
          <t>Tasa IREMI</t>
        </is>
      </c>
      <c r="M1" s="2" t="inlineStr">
        <is>
          <t>Valor Destino</t>
        </is>
      </c>
      <c r="N1" s="2" t="inlineStr">
        <is>
          <t>Comentario</t>
        </is>
      </c>
      <c r="O1" s="2" t="inlineStr">
        <is>
          <t>% G USDT</t>
        </is>
      </c>
      <c r="P1" s="2" t="inlineStr">
        <is>
          <t>% G CLP</t>
        </is>
      </c>
      <c r="Q1" s="2" t="inlineStr">
        <is>
          <t>Ganancia USDT</t>
        </is>
      </c>
      <c r="R1" s="2" t="inlineStr">
        <is>
          <t>Ganancia CLP</t>
        </is>
      </c>
      <c r="S1" s="2" t="inlineStr">
        <is>
          <t>Acumulado SELL</t>
        </is>
      </c>
    </row>
    <row r="2" ht="15.75" customHeight="1" s="94">
      <c r="A2" s="36" t="n">
        <v>1</v>
      </c>
      <c r="B2" s="37" t="inlineStr">
        <is>
          <t>SELL</t>
        </is>
      </c>
      <c r="C2" s="38" t="n">
        <v>46081</v>
      </c>
      <c r="D2" s="39" t="n">
        <v>20000</v>
      </c>
      <c r="E2" s="40" t="n">
        <v>880.47</v>
      </c>
      <c r="F2" s="40" t="n">
        <v>880.47</v>
      </c>
      <c r="G2" s="41" t="n">
        <v>-21.63</v>
      </c>
      <c r="H2" s="41" t="n">
        <v>-0.06</v>
      </c>
      <c r="I2" s="19" t="n">
        <v>2182.42</v>
      </c>
      <c r="J2" s="41" t="n">
        <v>596.3</v>
      </c>
      <c r="K2" s="42">
        <f>IF(AND(B2="SELL",E2&gt;0,J2&lt;&gt;""),J2/E2,0)</f>
        <v/>
      </c>
      <c r="L2" s="42" t="n">
        <v>0.645</v>
      </c>
      <c r="M2" s="40">
        <f>IF(AND(B2="SELL",L2&gt;0),D2*L2,0)</f>
        <v/>
      </c>
      <c r="N2" s="36" t="n"/>
      <c r="O2" s="43">
        <f>IF(AND(B2="SELL",G2&lt;&gt;0),Q2/ABS(G2),0)</f>
        <v/>
      </c>
      <c r="P2" s="43">
        <f>IF(AND(B2="SELL",D2&gt;0),R2/D2,0)</f>
        <v/>
      </c>
      <c r="Q2" s="44">
        <f>IF(AND(B2="SELL",D2&gt;0,E2&gt;0),(D2/E2)+G2,0)</f>
        <v/>
      </c>
      <c r="R2" s="45">
        <f>IF(B2="SELL",Q2*F2,0)</f>
        <v/>
      </c>
      <c r="S2" s="24">
        <f>'Febrero 2026'!S171+R2</f>
        <v/>
      </c>
    </row>
    <row r="3" ht="15.75" customHeight="1" s="94">
      <c r="A3" s="46" t="n">
        <v>2</v>
      </c>
      <c r="B3" s="47" t="inlineStr">
        <is>
          <t>SELL</t>
        </is>
      </c>
      <c r="C3" s="48" t="n">
        <v>46082</v>
      </c>
      <c r="D3" s="49" t="n">
        <v>40000</v>
      </c>
      <c r="E3" s="50" t="n">
        <v>880.47</v>
      </c>
      <c r="F3" s="50" t="n">
        <v>880.47</v>
      </c>
      <c r="G3" s="51" t="n">
        <v>-43.15</v>
      </c>
      <c r="H3" s="51" t="n">
        <v>-0.06</v>
      </c>
      <c r="I3" s="30" t="n">
        <v>2139.21</v>
      </c>
      <c r="J3" s="51" t="n">
        <v>3.337</v>
      </c>
      <c r="K3" s="52">
        <f>IF(AND(B3="SELL",E3&gt;0,J3&lt;&gt;""),J3/E3,0)</f>
        <v/>
      </c>
      <c r="L3" s="52" t="n">
        <v>0.00359</v>
      </c>
      <c r="M3" s="50">
        <f>IF(AND(B3="SELL",L3&gt;0),D3*L3,0)</f>
        <v/>
      </c>
      <c r="N3" s="46" t="n"/>
      <c r="O3" s="53">
        <f>IF(AND(B3="SELL",G3&lt;&gt;0),Q3/ABS(G3),0)</f>
        <v/>
      </c>
      <c r="P3" s="53">
        <f>IF(AND(B3="SELL",D3&gt;0),R3/D3,0)</f>
        <v/>
      </c>
      <c r="Q3" s="54">
        <f>IF(AND(B3="SELL",D3&gt;0,E3&gt;0),(D3/E3)+G3,0)</f>
        <v/>
      </c>
      <c r="R3" s="55">
        <f>IF(B3="SELL",Q3*F3,0)</f>
        <v/>
      </c>
      <c r="S3" s="35">
        <f>S2+R3</f>
        <v/>
      </c>
    </row>
    <row r="4" ht="15.75" customHeight="1" s="94">
      <c r="A4" s="36" t="n">
        <v>3</v>
      </c>
      <c r="B4" s="37" t="inlineStr">
        <is>
          <t>SELL</t>
        </is>
      </c>
      <c r="C4" s="38" t="n">
        <v>46082</v>
      </c>
      <c r="D4" s="39" t="n">
        <v>10000</v>
      </c>
      <c r="E4" s="40" t="n">
        <v>880.47</v>
      </c>
      <c r="F4" s="40" t="n">
        <v>880.47</v>
      </c>
      <c r="G4" s="41" t="n">
        <v>-10.88</v>
      </c>
      <c r="H4" s="41" t="n">
        <v>-0.06</v>
      </c>
      <c r="I4" s="19" t="n">
        <v>2128.27</v>
      </c>
      <c r="J4" s="41" t="n">
        <v>592.3</v>
      </c>
      <c r="K4" s="42">
        <f>IF(AND(B4="SELL",E4&gt;0,J4&lt;&gt;""),J4/E4,0)</f>
        <v/>
      </c>
      <c r="L4" s="42" t="n">
        <v>0.645</v>
      </c>
      <c r="M4" s="40">
        <f>IF(AND(B4="SELL",L4&gt;0),D4*L4,0)</f>
        <v/>
      </c>
      <c r="N4" s="36" t="n"/>
      <c r="O4" s="43">
        <f>IF(AND(B4="SELL",G4&lt;&gt;0),Q4/ABS(G4),0)</f>
        <v/>
      </c>
      <c r="P4" s="43">
        <f>IF(AND(B4="SELL",D4&gt;0),R4/D4,0)</f>
        <v/>
      </c>
      <c r="Q4" s="44">
        <f>IF(AND(B4="SELL",D4&gt;0,E4&gt;0),(D4/E4)+G4,0)</f>
        <v/>
      </c>
      <c r="R4" s="45">
        <f>IF(B4="SELL",Q4*F4,0)</f>
        <v/>
      </c>
      <c r="S4" s="24">
        <f>S3+R4</f>
        <v/>
      </c>
    </row>
    <row r="5" ht="15.75" customHeight="1" s="94">
      <c r="A5" s="46" t="n">
        <v>4</v>
      </c>
      <c r="B5" s="47" t="inlineStr">
        <is>
          <t>SELL</t>
        </is>
      </c>
      <c r="C5" s="48" t="n">
        <v>46083</v>
      </c>
      <c r="D5" s="49" t="n">
        <v>30000</v>
      </c>
      <c r="E5" s="50" t="n">
        <v>880.47</v>
      </c>
      <c r="F5" s="50" t="n">
        <v>880.47</v>
      </c>
      <c r="G5" s="51" t="n">
        <v>-32.68</v>
      </c>
      <c r="H5" s="51" t="n">
        <v>-0.06</v>
      </c>
      <c r="I5" s="30" t="n">
        <v>2095.53</v>
      </c>
      <c r="J5" s="51" t="n">
        <v>597.5</v>
      </c>
      <c r="K5" s="52">
        <f>IF(AND(B5="SELL",E5&gt;0,J5&lt;&gt;""),J5/E5,0)</f>
        <v/>
      </c>
      <c r="L5" s="52" t="n">
        <v>0.651</v>
      </c>
      <c r="M5" s="50">
        <f>IF(AND(B5="SELL",L5&gt;0),D5*L5,0)</f>
        <v/>
      </c>
      <c r="N5" s="46" t="n"/>
      <c r="O5" s="53">
        <f>IF(AND(B5="SELL",G5&lt;&gt;0),Q5/ABS(G5),0)</f>
        <v/>
      </c>
      <c r="P5" s="53">
        <f>IF(AND(B5="SELL",D5&gt;0),R5/D5,0)</f>
        <v/>
      </c>
      <c r="Q5" s="54">
        <f>IF(AND(B5="SELL",D5&gt;0,E5&gt;0),(D5/E5)+G5,0)</f>
        <v/>
      </c>
      <c r="R5" s="55">
        <f>IF(B5="SELL",Q5*F5,0)</f>
        <v/>
      </c>
      <c r="S5" s="35">
        <f>S4+R5</f>
        <v/>
      </c>
    </row>
    <row r="6" ht="15.75" customHeight="1" s="94">
      <c r="A6" s="36" t="n">
        <v>5</v>
      </c>
      <c r="B6" s="37" t="inlineStr">
        <is>
          <t>SELL</t>
        </is>
      </c>
      <c r="C6" s="38" t="n">
        <v>46083</v>
      </c>
      <c r="D6" s="39" t="n">
        <v>20000</v>
      </c>
      <c r="E6" s="40" t="n">
        <v>880.47</v>
      </c>
      <c r="F6" s="40" t="n">
        <v>880.47</v>
      </c>
      <c r="G6" s="41" t="n">
        <v>-21.55</v>
      </c>
      <c r="H6" s="41" t="n">
        <v>-0.06</v>
      </c>
      <c r="I6" s="19" t="n">
        <v>2073.92</v>
      </c>
      <c r="J6" s="41" t="n">
        <v>604</v>
      </c>
      <c r="K6" s="42">
        <f>IF(AND(B6="SELL",E6&gt;0,J6&lt;&gt;""),J6/E6,0)</f>
        <v/>
      </c>
      <c r="L6" s="42" t="n">
        <v>0.651</v>
      </c>
      <c r="M6" s="40">
        <f>IF(AND(B6="SELL",L6&gt;0),D6*L6,0)</f>
        <v/>
      </c>
      <c r="N6" s="36" t="n"/>
      <c r="O6" s="43">
        <f>IF(AND(B6="SELL",G6&lt;&gt;0),Q6/ABS(G6),0)</f>
        <v/>
      </c>
      <c r="P6" s="43">
        <f>IF(AND(B6="SELL",D6&gt;0),R6/D6,0)</f>
        <v/>
      </c>
      <c r="Q6" s="44">
        <f>IF(AND(B6="SELL",D6&gt;0,E6&gt;0),(D6/E6)+G6,0)</f>
        <v/>
      </c>
      <c r="R6" s="45">
        <f>IF(B6="SELL",Q6*F6,0)</f>
        <v/>
      </c>
      <c r="S6" s="24">
        <f>S5+R6</f>
        <v/>
      </c>
    </row>
    <row r="7" ht="15.75" customHeight="1" s="94">
      <c r="A7" s="46" t="n">
        <v>6</v>
      </c>
      <c r="B7" s="47" t="inlineStr">
        <is>
          <t>SELL</t>
        </is>
      </c>
      <c r="C7" s="48" t="n">
        <v>46083</v>
      </c>
      <c r="D7" s="49" t="n">
        <v>152800</v>
      </c>
      <c r="E7" s="50" t="n">
        <v>880.47</v>
      </c>
      <c r="F7" s="50" t="n">
        <v>880.47</v>
      </c>
      <c r="G7" s="51" t="n">
        <v>-157.3</v>
      </c>
      <c r="H7" s="51" t="n">
        <v>-0.06</v>
      </c>
      <c r="I7" s="30" t="n">
        <v>1916.56</v>
      </c>
      <c r="J7" s="51" t="n">
        <v>1.015</v>
      </c>
      <c r="K7" s="52">
        <f>IF(AND(B7="SELL",E7&gt;0,J7&lt;&gt;""),J7/E7,0)</f>
        <v/>
      </c>
      <c r="L7" s="52" t="n">
        <v>0.001047</v>
      </c>
      <c r="M7" s="50">
        <f>IF(AND(B7="SELL",L7&gt;0),D7*L7,0)</f>
        <v/>
      </c>
      <c r="N7" s="46" t="n"/>
      <c r="O7" s="53">
        <f>IF(AND(B7="SELL",G7&lt;&gt;0),Q7/ABS(G7),0)</f>
        <v/>
      </c>
      <c r="P7" s="53">
        <f>IF(AND(B7="SELL",D7&gt;0),R7/D7,0)</f>
        <v/>
      </c>
      <c r="Q7" s="54">
        <f>IF(AND(B7="SELL",D7&gt;0,E7&gt;0),(D7/E7)+G7,0)</f>
        <v/>
      </c>
      <c r="R7" s="55">
        <f>IF(B7="SELL",Q7*F7,0)</f>
        <v/>
      </c>
      <c r="S7" s="35">
        <f>S6+R7</f>
        <v/>
      </c>
    </row>
    <row r="8" ht="15.75" customHeight="1" s="94">
      <c r="A8" s="36" t="n">
        <v>7</v>
      </c>
      <c r="B8" s="37" t="inlineStr">
        <is>
          <t>SELL</t>
        </is>
      </c>
      <c r="C8" s="38" t="n">
        <v>46083</v>
      </c>
      <c r="D8" s="39" t="n">
        <v>50000</v>
      </c>
      <c r="E8" s="40" t="n">
        <v>880.47</v>
      </c>
      <c r="F8" s="40" t="n">
        <v>880.47</v>
      </c>
      <c r="G8" s="41" t="n">
        <v>-53.22</v>
      </c>
      <c r="H8" s="41" t="n">
        <v>-0.06</v>
      </c>
      <c r="I8" s="19" t="n">
        <v>1863.28</v>
      </c>
      <c r="J8" s="41" t="n">
        <v>611.6</v>
      </c>
      <c r="K8" s="42">
        <f>IF(AND(B8="SELL",E8&gt;0,J8&lt;&gt;""),J8/E8,0)</f>
        <v/>
      </c>
      <c r="L8" s="42" t="n">
        <v>0.651</v>
      </c>
      <c r="M8" s="40">
        <f>IF(AND(B8="SELL",L8&gt;0),D8*L8,0)</f>
        <v/>
      </c>
      <c r="N8" s="36" t="n"/>
      <c r="O8" s="43">
        <f>IF(AND(B8="SELL",G8&lt;&gt;0),Q8/ABS(G8),0)</f>
        <v/>
      </c>
      <c r="P8" s="43">
        <f>IF(AND(B8="SELL",D8&gt;0),R8/D8,0)</f>
        <v/>
      </c>
      <c r="Q8" s="44">
        <f>IF(AND(B8="SELL",D8&gt;0,E8&gt;0),(D8/E8)+G8,0)</f>
        <v/>
      </c>
      <c r="R8" s="45">
        <f>IF(B8="SELL",Q8*F8,0)</f>
        <v/>
      </c>
      <c r="S8" s="24">
        <f>S7+R8</f>
        <v/>
      </c>
    </row>
    <row r="9" ht="15.75" customHeight="1" s="94">
      <c r="A9" s="46" t="n">
        <v>8</v>
      </c>
      <c r="B9" s="47" t="inlineStr">
        <is>
          <t>SELL</t>
        </is>
      </c>
      <c r="C9" s="48" t="n">
        <v>46083</v>
      </c>
      <c r="D9" s="49" t="n">
        <v>100000</v>
      </c>
      <c r="E9" s="50" t="n">
        <v>880.47</v>
      </c>
      <c r="F9" s="50" t="n">
        <v>880.47</v>
      </c>
      <c r="G9" s="51" t="n">
        <v>-105.8</v>
      </c>
      <c r="H9" s="51" t="n">
        <v>-0.06</v>
      </c>
      <c r="I9" s="30" t="n">
        <v>1757.42</v>
      </c>
      <c r="J9" s="51" t="n">
        <v>615.3</v>
      </c>
      <c r="K9" s="52">
        <f>IF(AND(B9="SELL",E9&gt;0,J9&lt;&gt;""),J9/E9,0)</f>
        <v/>
      </c>
      <c r="L9" s="52" t="n">
        <v>0.651</v>
      </c>
      <c r="M9" s="50">
        <f>IF(AND(B9="SELL",L9&gt;0),D9*L9,0)</f>
        <v/>
      </c>
      <c r="N9" s="46" t="n"/>
      <c r="O9" s="53">
        <f>IF(AND(B9="SELL",G9&lt;&gt;0),Q9/ABS(G9),0)</f>
        <v/>
      </c>
      <c r="P9" s="53">
        <f>IF(AND(B9="SELL",D9&gt;0),R9/D9,0)</f>
        <v/>
      </c>
      <c r="Q9" s="54">
        <f>IF(AND(B9="SELL",D9&gt;0,E9&gt;0),(D9/E9)+G9,0)</f>
        <v/>
      </c>
      <c r="R9" s="55">
        <f>IF(B9="SELL",Q9*F9,0)</f>
        <v/>
      </c>
      <c r="S9" s="35">
        <f>S8+R9</f>
        <v/>
      </c>
    </row>
    <row r="10" ht="15.75" customHeight="1" s="94">
      <c r="A10" s="36" t="n">
        <v>9</v>
      </c>
      <c r="B10" s="37" t="inlineStr">
        <is>
          <t>SELL</t>
        </is>
      </c>
      <c r="C10" s="38" t="n">
        <v>46083</v>
      </c>
      <c r="D10" s="39" t="n">
        <v>10000</v>
      </c>
      <c r="E10" s="40" t="n">
        <v>880.47</v>
      </c>
      <c r="F10" s="40" t="n">
        <v>880.47</v>
      </c>
      <c r="G10" s="41" t="n">
        <v>-10.63</v>
      </c>
      <c r="H10" s="41" t="n">
        <v>-0.06</v>
      </c>
      <c r="I10" s="19" t="n">
        <v>1746.73</v>
      </c>
      <c r="J10" s="41" t="n">
        <v>610</v>
      </c>
      <c r="K10" s="42">
        <f>IF(AND(B10="SELL",E10&gt;0,J10&lt;&gt;""),J10/E10,0)</f>
        <v/>
      </c>
      <c r="L10" s="42" t="n">
        <v>0.651</v>
      </c>
      <c r="M10" s="40">
        <f>IF(AND(B10="SELL",L10&gt;0),D10*L10,0)</f>
        <v/>
      </c>
      <c r="N10" s="36" t="n"/>
      <c r="O10" s="43">
        <f>IF(AND(B10="SELL",G10&lt;&gt;0),Q10/ABS(G10),0)</f>
        <v/>
      </c>
      <c r="P10" s="43">
        <f>IF(AND(B10="SELL",D10&gt;0),R10/D10,0)</f>
        <v/>
      </c>
      <c r="Q10" s="44">
        <f>IF(AND(B10="SELL",D10&gt;0,E10&gt;0),(D10/E10)+G10,0)</f>
        <v/>
      </c>
      <c r="R10" s="45">
        <f>IF(B10="SELL",Q10*F10,0)</f>
        <v/>
      </c>
      <c r="S10" s="24">
        <f>S9+R10</f>
        <v/>
      </c>
    </row>
    <row r="11" ht="15.75" customHeight="1" s="94">
      <c r="A11" s="46" t="n">
        <v>10</v>
      </c>
      <c r="B11" s="47" t="inlineStr">
        <is>
          <t>SELL</t>
        </is>
      </c>
      <c r="C11" s="48" t="n">
        <v>46083</v>
      </c>
      <c r="D11" s="49" t="n">
        <v>100000</v>
      </c>
      <c r="E11" s="50" t="n">
        <v>880.47</v>
      </c>
      <c r="F11" s="50" t="n">
        <v>880.47</v>
      </c>
      <c r="G11" s="51" t="n">
        <v>-105.85</v>
      </c>
      <c r="H11" s="51" t="n">
        <v>-0.06</v>
      </c>
      <c r="I11" s="30" t="n">
        <v>1640.82</v>
      </c>
      <c r="J11" s="51" t="n">
        <v>615</v>
      </c>
      <c r="K11" s="52">
        <f>IF(AND(B11="SELL",E11&gt;0,J11&lt;&gt;""),J11/E11,0)</f>
        <v/>
      </c>
      <c r="L11" s="52" t="n">
        <v>0.651</v>
      </c>
      <c r="M11" s="50">
        <f>IF(AND(B11="SELL",L11&gt;0),D11*L11,0)</f>
        <v/>
      </c>
      <c r="N11" s="46" t="n"/>
      <c r="O11" s="53">
        <f>IF(AND(B11="SELL",G11&lt;&gt;0),Q11/ABS(G11),0)</f>
        <v/>
      </c>
      <c r="P11" s="53">
        <f>IF(AND(B11="SELL",D11&gt;0),R11/D11,0)</f>
        <v/>
      </c>
      <c r="Q11" s="54">
        <f>IF(AND(B11="SELL",D11&gt;0,E11&gt;0),(D11/E11)+G11,0)</f>
        <v/>
      </c>
      <c r="R11" s="55">
        <f>IF(B11="SELL",Q11*F11,0)</f>
        <v/>
      </c>
      <c r="S11" s="35">
        <f>S10+R11</f>
        <v/>
      </c>
    </row>
    <row r="12" ht="15.75" customHeight="1" s="94">
      <c r="A12" s="36" t="n">
        <v>11</v>
      </c>
      <c r="B12" s="37" t="inlineStr">
        <is>
          <t>SELL</t>
        </is>
      </c>
      <c r="C12" s="38" t="n">
        <v>46083</v>
      </c>
      <c r="D12" s="39" t="n">
        <v>100000</v>
      </c>
      <c r="E12" s="40" t="n">
        <v>880.47</v>
      </c>
      <c r="F12" s="40" t="n">
        <v>880.47</v>
      </c>
      <c r="G12" s="41" t="n">
        <v>-105.84</v>
      </c>
      <c r="H12" s="41" t="n">
        <v>-0.06</v>
      </c>
      <c r="I12" s="19" t="n">
        <v>1534.92</v>
      </c>
      <c r="J12" s="41" t="n">
        <v>616</v>
      </c>
      <c r="K12" s="42">
        <f>IF(AND(B12="SELL",E12&gt;0,J12&lt;&gt;""),J12/E12,0)</f>
        <v/>
      </c>
      <c r="L12" s="42" t="n">
        <v>0.652</v>
      </c>
      <c r="M12" s="40">
        <f>IF(AND(B12="SELL",L12&gt;0),D12*L12,0)</f>
        <v/>
      </c>
      <c r="N12" s="36" t="n"/>
      <c r="O12" s="43">
        <f>IF(AND(B12="SELL",G12&lt;&gt;0),Q12/ABS(G12),0)</f>
        <v/>
      </c>
      <c r="P12" s="43">
        <f>IF(AND(B12="SELL",D12&gt;0),R12/D12,0)</f>
        <v/>
      </c>
      <c r="Q12" s="44">
        <f>IF(AND(B12="SELL",D12&gt;0,E12&gt;0),(D12/E12)+G12,0)</f>
        <v/>
      </c>
      <c r="R12" s="45">
        <f>IF(B12="SELL",Q12*F12,0)</f>
        <v/>
      </c>
      <c r="S12" s="24">
        <f>S11+R12</f>
        <v/>
      </c>
    </row>
    <row r="13" ht="15.75" customHeight="1" s="94">
      <c r="A13" s="46" t="n">
        <v>12</v>
      </c>
      <c r="B13" s="47" t="inlineStr">
        <is>
          <t>SELL</t>
        </is>
      </c>
      <c r="C13" s="48" t="n">
        <v>46084</v>
      </c>
      <c r="D13" s="49" t="n">
        <v>150000</v>
      </c>
      <c r="E13" s="50" t="n">
        <v>880.47</v>
      </c>
      <c r="F13" s="50" t="n">
        <v>880.47</v>
      </c>
      <c r="G13" s="51" t="n">
        <v>-159.79</v>
      </c>
      <c r="H13" s="51" t="n">
        <v>-0.06</v>
      </c>
      <c r="I13" s="30" t="n">
        <v>1375.07</v>
      </c>
      <c r="J13" s="51" t="n">
        <v>611.1</v>
      </c>
      <c r="K13" s="52">
        <f>IF(AND(B13="SELL",E13&gt;0,J13&lt;&gt;""),J13/E13,0)</f>
        <v/>
      </c>
      <c r="L13" s="52" t="n">
        <v>0.651</v>
      </c>
      <c r="M13" s="50">
        <f>IF(AND(B13="SELL",L13&gt;0),D13*L13,0)</f>
        <v/>
      </c>
      <c r="N13" s="46" t="n"/>
      <c r="O13" s="53">
        <f>IF(AND(B13="SELL",G13&lt;&gt;0),Q13/ABS(G13),0)</f>
        <v/>
      </c>
      <c r="P13" s="53">
        <f>IF(AND(B13="SELL",D13&gt;0),R13/D13,0)</f>
        <v/>
      </c>
      <c r="Q13" s="54">
        <f>IF(AND(B13="SELL",D13&gt;0,E13&gt;0),(D13/E13)+G13,0)</f>
        <v/>
      </c>
      <c r="R13" s="55">
        <f>IF(B13="SELL",Q13*F13,0)</f>
        <v/>
      </c>
      <c r="S13" s="35">
        <f>S12+R13</f>
        <v/>
      </c>
    </row>
    <row r="14" ht="15.75" customHeight="1" s="94">
      <c r="A14" s="36" t="n">
        <v>13</v>
      </c>
      <c r="B14" s="37" t="inlineStr">
        <is>
          <t>SELL</t>
        </is>
      </c>
      <c r="C14" s="38" t="n">
        <v>46084</v>
      </c>
      <c r="D14" s="39" t="n">
        <v>50000</v>
      </c>
      <c r="E14" s="40" t="n">
        <v>880.47</v>
      </c>
      <c r="F14" s="40" t="n">
        <v>880.47</v>
      </c>
      <c r="G14" s="41" t="n">
        <v>-54.23</v>
      </c>
      <c r="H14" s="41" t="n">
        <v>-0.06</v>
      </c>
      <c r="I14" s="19" t="n">
        <v>1320.78</v>
      </c>
      <c r="J14" s="41" t="n">
        <v>600.22</v>
      </c>
      <c r="K14" s="42">
        <f>IF(AND(B14="SELL",E14&gt;0,J14&lt;&gt;""),J14/E14,0)</f>
        <v/>
      </c>
      <c r="L14" s="42" t="n">
        <v>0.651</v>
      </c>
      <c r="M14" s="40">
        <f>IF(AND(B14="SELL",L14&gt;0),D14*L14,0)</f>
        <v/>
      </c>
      <c r="N14" s="36" t="n"/>
      <c r="O14" s="43">
        <f>IF(AND(B14="SELL",G14&lt;&gt;0),Q14/ABS(G14),0)</f>
        <v/>
      </c>
      <c r="P14" s="43">
        <f>IF(AND(B14="SELL",D14&gt;0),R14/D14,0)</f>
        <v/>
      </c>
      <c r="Q14" s="44">
        <f>IF(AND(B14="SELL",D14&gt;0,E14&gt;0),(D14/E14)+G14,0)</f>
        <v/>
      </c>
      <c r="R14" s="45">
        <f>IF(B14="SELL",Q14*F14,0)</f>
        <v/>
      </c>
      <c r="S14" s="24">
        <f>S13+R14</f>
        <v/>
      </c>
    </row>
    <row r="15" ht="15.75" customHeight="1" s="94">
      <c r="A15" s="46" t="n">
        <v>14</v>
      </c>
      <c r="B15" s="47" t="inlineStr">
        <is>
          <t>SELL</t>
        </is>
      </c>
      <c r="C15" s="48" t="n">
        <v>46084</v>
      </c>
      <c r="D15" s="49" t="n">
        <v>25000</v>
      </c>
      <c r="E15" s="50" t="n">
        <v>880.47</v>
      </c>
      <c r="F15" s="50" t="n">
        <v>880.47</v>
      </c>
      <c r="G15" s="51" t="n">
        <v>-26.87</v>
      </c>
      <c r="H15" s="51" t="n">
        <v>-0.06</v>
      </c>
      <c r="I15" s="30" t="n">
        <v>1293.85</v>
      </c>
      <c r="J15" s="51" t="n">
        <v>605.5599999999999</v>
      </c>
      <c r="K15" s="52">
        <f>IF(AND(B15="SELL",E15&gt;0,J15&lt;&gt;""),J15/E15,0)</f>
        <v/>
      </c>
      <c r="L15" s="52" t="n">
        <v>0.651</v>
      </c>
      <c r="M15" s="50">
        <f>IF(AND(B15="SELL",L15&gt;0),D15*L15,0)</f>
        <v/>
      </c>
      <c r="N15" s="46" t="n"/>
      <c r="O15" s="53">
        <f>IF(AND(B15="SELL",G15&lt;&gt;0),Q15/ABS(G15),0)</f>
        <v/>
      </c>
      <c r="P15" s="53">
        <f>IF(AND(B15="SELL",D15&gt;0),R15/D15,0)</f>
        <v/>
      </c>
      <c r="Q15" s="54">
        <f>IF(AND(B15="SELL",D15&gt;0,E15&gt;0),(D15/E15)+G15,0)</f>
        <v/>
      </c>
      <c r="R15" s="55">
        <f>IF(B15="SELL",Q15*F15,0)</f>
        <v/>
      </c>
      <c r="S15" s="35">
        <f>S14+R15</f>
        <v/>
      </c>
    </row>
    <row r="16" ht="15.75" customHeight="1" s="94">
      <c r="A16" s="36" t="n">
        <v>15</v>
      </c>
      <c r="B16" s="37" t="inlineStr">
        <is>
          <t>SELL</t>
        </is>
      </c>
      <c r="C16" s="38" t="n">
        <v>46084</v>
      </c>
      <c r="D16" s="39" t="n">
        <v>50000</v>
      </c>
      <c r="E16" s="40" t="n">
        <v>880.47</v>
      </c>
      <c r="F16" s="40" t="n">
        <v>880.47</v>
      </c>
      <c r="G16" s="41" t="n">
        <v>-53.59</v>
      </c>
      <c r="H16" s="41" t="n">
        <v>-0.06</v>
      </c>
      <c r="I16" s="19" t="n">
        <v>1240.2</v>
      </c>
      <c r="J16" s="41" t="n">
        <v>607.3099999999999</v>
      </c>
      <c r="K16" s="42">
        <f>IF(AND(B16="SELL",E16&gt;0,J16&lt;&gt;""),J16/E16,0)</f>
        <v/>
      </c>
      <c r="L16" s="42" t="n">
        <v>0.651</v>
      </c>
      <c r="M16" s="40">
        <f>IF(AND(B16="SELL",L16&gt;0),D16*L16,0)</f>
        <v/>
      </c>
      <c r="N16" s="36" t="n"/>
      <c r="O16" s="43">
        <f>IF(AND(B16="SELL",G16&lt;&gt;0),Q16/ABS(G16),0)</f>
        <v/>
      </c>
      <c r="P16" s="43">
        <f>IF(AND(B16="SELL",D16&gt;0),R16/D16,0)</f>
        <v/>
      </c>
      <c r="Q16" s="44">
        <f>IF(AND(B16="SELL",D16&gt;0,E16&gt;0),(D16/E16)+G16,0)</f>
        <v/>
      </c>
      <c r="R16" s="45">
        <f>IF(B16="SELL",Q16*F16,0)</f>
        <v/>
      </c>
      <c r="S16" s="24">
        <f>S15+R16</f>
        <v/>
      </c>
    </row>
    <row r="17" ht="15.75" customHeight="1" s="94">
      <c r="A17" s="46" t="n">
        <v>16</v>
      </c>
      <c r="B17" s="47" t="inlineStr">
        <is>
          <t>SELL</t>
        </is>
      </c>
      <c r="C17" s="48" t="n">
        <v>46084</v>
      </c>
      <c r="D17" s="49" t="n">
        <v>100000</v>
      </c>
      <c r="E17" s="50" t="n">
        <v>880.47</v>
      </c>
      <c r="F17" s="50" t="n">
        <v>880.47</v>
      </c>
      <c r="G17" s="51" t="n">
        <v>-104.55</v>
      </c>
      <c r="H17" s="51" t="n">
        <v>-0.06</v>
      </c>
      <c r="I17" s="30" t="n">
        <v>1135.59</v>
      </c>
      <c r="J17" s="51" t="n">
        <v>622.61</v>
      </c>
      <c r="K17" s="52">
        <f>IF(AND(B17="SELL",E17&gt;0,J17&lt;&gt;""),J17/E17,0)</f>
        <v/>
      </c>
      <c r="L17" s="52" t="n">
        <v>0.651</v>
      </c>
      <c r="M17" s="50">
        <f>IF(AND(B17="SELL",L17&gt;0),D17*L17,0)</f>
        <v/>
      </c>
      <c r="N17" s="46" t="n"/>
      <c r="O17" s="53">
        <f>IF(AND(B17="SELL",G17&lt;&gt;0),Q17/ABS(G17),0)</f>
        <v/>
      </c>
      <c r="P17" s="53">
        <f>IF(AND(B17="SELL",D17&gt;0),R17/D17,0)</f>
        <v/>
      </c>
      <c r="Q17" s="54">
        <f>IF(AND(B17="SELL",D17&gt;0,E17&gt;0),(D17/E17)+G17,0)</f>
        <v/>
      </c>
      <c r="R17" s="55">
        <f>IF(B17="SELL",Q17*F17,0)</f>
        <v/>
      </c>
      <c r="S17" s="35">
        <f>S16+R17</f>
        <v/>
      </c>
    </row>
    <row r="18" ht="15.75" customHeight="1" s="94">
      <c r="A18" s="36" t="n">
        <v>17</v>
      </c>
      <c r="B18" s="37" t="inlineStr">
        <is>
          <t>SELL</t>
        </is>
      </c>
      <c r="C18" s="38" t="n">
        <v>46084</v>
      </c>
      <c r="D18" s="39" t="n">
        <v>12000</v>
      </c>
      <c r="E18" s="40" t="n">
        <v>880.47</v>
      </c>
      <c r="F18" s="40" t="n">
        <v>880.47</v>
      </c>
      <c r="G18" s="41" t="n">
        <v>-12.55</v>
      </c>
      <c r="H18" s="41" t="n">
        <v>-0.06</v>
      </c>
      <c r="I18" s="19" t="n">
        <v>1122.98</v>
      </c>
      <c r="J18" s="41" t="n">
        <v>623.85</v>
      </c>
      <c r="K18" s="42">
        <f>IF(AND(B18="SELL",E18&gt;0,J18&lt;&gt;""),J18/E18,0)</f>
        <v/>
      </c>
      <c r="L18" s="42" t="n">
        <v>0.651</v>
      </c>
      <c r="M18" s="40">
        <f>IF(AND(B18="SELL",L18&gt;0),D18*L18,0)</f>
        <v/>
      </c>
      <c r="N18" s="36" t="n"/>
      <c r="O18" s="43">
        <f>IF(AND(B18="SELL",G18&lt;&gt;0),Q18/ABS(G18),0)</f>
        <v/>
      </c>
      <c r="P18" s="43">
        <f>IF(AND(B18="SELL",D18&gt;0),R18/D18,0)</f>
        <v/>
      </c>
      <c r="Q18" s="44">
        <f>IF(AND(B18="SELL",D18&gt;0,E18&gt;0),(D18/E18)+G18,0)</f>
        <v/>
      </c>
      <c r="R18" s="45">
        <f>IF(B18="SELL",Q18*F18,0)</f>
        <v/>
      </c>
      <c r="S18" s="24">
        <f>S17+R18</f>
        <v/>
      </c>
    </row>
    <row r="19" ht="15.75" customHeight="1" s="94">
      <c r="A19" s="46" t="n">
        <v>18</v>
      </c>
      <c r="B19" s="47" t="inlineStr">
        <is>
          <t>SELL</t>
        </is>
      </c>
      <c r="C19" s="48" t="n">
        <v>46084</v>
      </c>
      <c r="D19" s="49" t="n">
        <v>60000</v>
      </c>
      <c r="E19" s="50" t="n">
        <v>880.47</v>
      </c>
      <c r="F19" s="50" t="n">
        <v>880.47</v>
      </c>
      <c r="G19" s="51" t="n">
        <v>-62.61</v>
      </c>
      <c r="H19" s="51" t="n">
        <v>-0.06</v>
      </c>
      <c r="I19" s="30" t="n">
        <v>1060.31</v>
      </c>
      <c r="J19" s="51" t="n">
        <v>623.85</v>
      </c>
      <c r="K19" s="52">
        <f>IF(AND(B19="SELL",E19&gt;0,J19&lt;&gt;""),J19/E19,0)</f>
        <v/>
      </c>
      <c r="L19" s="52" t="n">
        <v>0.651</v>
      </c>
      <c r="M19" s="50">
        <f>IF(AND(B19="SELL",L19&gt;0),D19*L19,0)</f>
        <v/>
      </c>
      <c r="N19" s="46" t="n"/>
      <c r="O19" s="53">
        <f>IF(AND(B19="SELL",G19&lt;&gt;0),Q19/ABS(G19),0)</f>
        <v/>
      </c>
      <c r="P19" s="53">
        <f>IF(AND(B19="SELL",D19&gt;0),R19/D19,0)</f>
        <v/>
      </c>
      <c r="Q19" s="54">
        <f>IF(AND(B19="SELL",D19&gt;0,E19&gt;0),(D19/E19)+G19,0)</f>
        <v/>
      </c>
      <c r="R19" s="55">
        <f>IF(B19="SELL",Q19*F19,0)</f>
        <v/>
      </c>
      <c r="S19" s="35">
        <f>S18+R19</f>
        <v/>
      </c>
    </row>
    <row r="20" ht="15.75" customHeight="1" s="94">
      <c r="A20" s="36" t="n">
        <v>19</v>
      </c>
      <c r="B20" s="37" t="inlineStr">
        <is>
          <t>SELL</t>
        </is>
      </c>
      <c r="C20" s="38" t="n">
        <v>46084</v>
      </c>
      <c r="D20" s="39" t="n">
        <v>40000</v>
      </c>
      <c r="E20" s="40" t="n">
        <v>880.47</v>
      </c>
      <c r="F20" s="40" t="n">
        <v>880.47</v>
      </c>
      <c r="G20" s="41" t="n">
        <v>-41.66</v>
      </c>
      <c r="H20" s="41" t="n">
        <v>-0.06</v>
      </c>
      <c r="I20" s="19" t="n">
        <v>1018.59</v>
      </c>
      <c r="J20" s="41" t="n">
        <v>625.001</v>
      </c>
      <c r="K20" s="42">
        <f>IF(AND(B20="SELL",E20&gt;0,J20&lt;&gt;""),J20/E20,0)</f>
        <v/>
      </c>
      <c r="L20" s="42" t="n">
        <v>0.651</v>
      </c>
      <c r="M20" s="40">
        <f>IF(AND(B20="SELL",L20&gt;0),D20*L20,0)</f>
        <v/>
      </c>
      <c r="N20" s="36" t="n"/>
      <c r="O20" s="43">
        <f>IF(AND(B20="SELL",G20&lt;&gt;0),Q20/ABS(G20),0)</f>
        <v/>
      </c>
      <c r="P20" s="43">
        <f>IF(AND(B20="SELL",D20&gt;0),R20/D20,0)</f>
        <v/>
      </c>
      <c r="Q20" s="44">
        <f>IF(AND(B20="SELL",D20&gt;0,E20&gt;0),(D20/E20)+G20,0)</f>
        <v/>
      </c>
      <c r="R20" s="45">
        <f>IF(B20="SELL",Q20*F20,0)</f>
        <v/>
      </c>
      <c r="S20" s="24">
        <f>S19+R20</f>
        <v/>
      </c>
    </row>
    <row r="21" ht="15.75" customHeight="1" s="94">
      <c r="A21" s="46" t="n">
        <v>20</v>
      </c>
      <c r="B21" s="47" t="inlineStr">
        <is>
          <t>SELL</t>
        </is>
      </c>
      <c r="C21" s="48" t="n">
        <v>46084</v>
      </c>
      <c r="D21" s="49" t="n">
        <v>20000</v>
      </c>
      <c r="E21" s="50" t="n">
        <v>880.47</v>
      </c>
      <c r="F21" s="50" t="n">
        <v>880.47</v>
      </c>
      <c r="G21" s="51" t="n">
        <v>-20.88</v>
      </c>
      <c r="H21" s="51" t="n">
        <v>-0.06</v>
      </c>
      <c r="I21" s="30" t="n">
        <v>997.65</v>
      </c>
      <c r="J21" s="51" t="n">
        <v>623.5</v>
      </c>
      <c r="K21" s="52">
        <f>IF(AND(B21="SELL",E21&gt;0,J21&lt;&gt;""),J21/E21,0)</f>
        <v/>
      </c>
      <c r="L21" s="52" t="n">
        <v>0.651</v>
      </c>
      <c r="M21" s="50">
        <f>IF(AND(B21="SELL",L21&gt;0),D21*L21,0)</f>
        <v/>
      </c>
      <c r="N21" s="46" t="n"/>
      <c r="O21" s="53">
        <f>IF(AND(B21="SELL",G21&lt;&gt;0),Q21/ABS(G21),0)</f>
        <v/>
      </c>
      <c r="P21" s="53">
        <f>IF(AND(B21="SELL",D21&gt;0),R21/D21,0)</f>
        <v/>
      </c>
      <c r="Q21" s="54">
        <f>IF(AND(B21="SELL",D21&gt;0,E21&gt;0),(D21/E21)+G21,0)</f>
        <v/>
      </c>
      <c r="R21" s="55">
        <f>IF(B21="SELL",Q21*F21,0)</f>
        <v/>
      </c>
      <c r="S21" s="35">
        <f>S20+R21</f>
        <v/>
      </c>
    </row>
    <row r="22" ht="15.75" customHeight="1" s="94">
      <c r="A22" s="36" t="n">
        <v>21</v>
      </c>
      <c r="B22" s="37" t="inlineStr">
        <is>
          <t>SELL</t>
        </is>
      </c>
      <c r="C22" s="38" t="n">
        <v>46085</v>
      </c>
      <c r="D22" s="39" t="n">
        <v>27000</v>
      </c>
      <c r="E22" s="40" t="n">
        <v>880.47</v>
      </c>
      <c r="F22" s="40" t="n">
        <v>880.47</v>
      </c>
      <c r="G22" s="41" t="n">
        <v>-28.39</v>
      </c>
      <c r="H22" s="41" t="n">
        <v>-0.06</v>
      </c>
      <c r="I22" s="19" t="n">
        <v>969.2</v>
      </c>
      <c r="J22" s="41" t="n">
        <v>619.01</v>
      </c>
      <c r="K22" s="42">
        <f>IF(AND(B22="SELL",E22&gt;0,J22&lt;&gt;""),J22/E22,0)</f>
        <v/>
      </c>
      <c r="L22" s="42" t="n">
        <v>0.651</v>
      </c>
      <c r="M22" s="40">
        <f>IF(AND(B22="SELL",L22&gt;0),D22*L22,0)</f>
        <v/>
      </c>
      <c r="N22" s="36" t="n"/>
      <c r="O22" s="43">
        <f>IF(AND(B22="SELL",G22&lt;&gt;0),Q22/ABS(G22),0)</f>
        <v/>
      </c>
      <c r="P22" s="43">
        <f>IF(AND(B22="SELL",D22&gt;0),R22/D22,0)</f>
        <v/>
      </c>
      <c r="Q22" s="44">
        <f>IF(AND(B22="SELL",D22&gt;0,E22&gt;0),(D22/E22)+G22,0)</f>
        <v/>
      </c>
      <c r="R22" s="45">
        <f>IF(B22="SELL",Q22*F22,0)</f>
        <v/>
      </c>
      <c r="S22" s="24">
        <f>S21+R22</f>
        <v/>
      </c>
    </row>
    <row r="23" ht="15.75" customHeight="1" s="94">
      <c r="A23" s="46" t="n">
        <v>22</v>
      </c>
      <c r="B23" s="47" t="inlineStr">
        <is>
          <t>SELL</t>
        </is>
      </c>
      <c r="C23" s="48" t="n">
        <v>46085</v>
      </c>
      <c r="D23" s="49" t="n">
        <v>75000</v>
      </c>
      <c r="E23" s="50" t="n">
        <v>880.47</v>
      </c>
      <c r="F23" s="50" t="n">
        <v>880.47</v>
      </c>
      <c r="G23" s="51" t="n">
        <v>-76.22</v>
      </c>
      <c r="H23" s="51" t="n">
        <v>-0.06</v>
      </c>
      <c r="I23" s="30" t="n">
        <v>892.92</v>
      </c>
      <c r="J23" s="51" t="n">
        <v>644.5</v>
      </c>
      <c r="K23" s="52">
        <f>IF(AND(B23="SELL",E23&gt;0,J23&lt;&gt;""),J23/E23,0)</f>
        <v/>
      </c>
      <c r="L23" s="52" t="n">
        <v>0.655</v>
      </c>
      <c r="M23" s="50">
        <f>IF(AND(B23="SELL",L23&gt;0),D23*L23,0)</f>
        <v/>
      </c>
      <c r="N23" s="46" t="n"/>
      <c r="O23" s="53">
        <f>IF(AND(B23="SELL",G23&lt;&gt;0),Q23/ABS(G23),0)</f>
        <v/>
      </c>
      <c r="P23" s="53">
        <f>IF(AND(B23="SELL",D23&gt;0),R23/D23,0)</f>
        <v/>
      </c>
      <c r="Q23" s="54">
        <f>IF(AND(B23="SELL",D23&gt;0,E23&gt;0),(D23/E23)+G23,0)</f>
        <v/>
      </c>
      <c r="R23" s="55">
        <f>IF(B23="SELL",Q23*F23,0)</f>
        <v/>
      </c>
      <c r="S23" s="35">
        <f>S22+R23</f>
        <v/>
      </c>
    </row>
    <row r="24" ht="15.75" customHeight="1" s="94">
      <c r="A24" s="36" t="n">
        <v>23</v>
      </c>
      <c r="B24" s="37" t="inlineStr">
        <is>
          <t>SELL</t>
        </is>
      </c>
      <c r="C24" s="38" t="n">
        <v>46085</v>
      </c>
      <c r="D24" s="39" t="n">
        <v>39000</v>
      </c>
      <c r="E24" s="40" t="n">
        <v>880.47</v>
      </c>
      <c r="F24" s="40" t="n">
        <v>880.47</v>
      </c>
      <c r="G24" s="41" t="n">
        <v>-39.93</v>
      </c>
      <c r="H24" s="41" t="n">
        <v>-0.06</v>
      </c>
      <c r="I24" s="19" t="n">
        <v>852.9299999999999</v>
      </c>
      <c r="J24" s="41" t="n">
        <v>639.7</v>
      </c>
      <c r="K24" s="42">
        <f>IF(AND(B24="SELL",E24&gt;0,J24&lt;&gt;""),J24/E24,0)</f>
        <v/>
      </c>
      <c r="L24" s="42" t="n">
        <v>0.655</v>
      </c>
      <c r="M24" s="40">
        <f>IF(AND(B24="SELL",L24&gt;0),D24*L24,0)</f>
        <v/>
      </c>
      <c r="N24" s="36" t="n"/>
      <c r="O24" s="43">
        <f>IF(AND(B24="SELL",G24&lt;&gt;0),Q24/ABS(G24),0)</f>
        <v/>
      </c>
      <c r="P24" s="43">
        <f>IF(AND(B24="SELL",D24&gt;0),R24/D24,0)</f>
        <v/>
      </c>
      <c r="Q24" s="44">
        <f>IF(AND(B24="SELL",D24&gt;0,E24&gt;0),(D24/E24)+G24,0)</f>
        <v/>
      </c>
      <c r="R24" s="45">
        <f>IF(B24="SELL",Q24*F24,0)</f>
        <v/>
      </c>
      <c r="S24" s="24">
        <f>S23+R24</f>
        <v/>
      </c>
    </row>
    <row r="25" ht="15.75" customHeight="1" s="94">
      <c r="A25" s="46" t="n">
        <v>24</v>
      </c>
      <c r="B25" s="47" t="inlineStr">
        <is>
          <t>SELL</t>
        </is>
      </c>
      <c r="C25" s="48" t="n">
        <v>46086</v>
      </c>
      <c r="D25" s="49" t="n">
        <v>155000</v>
      </c>
      <c r="E25" s="50" t="n">
        <v>880.47</v>
      </c>
      <c r="F25" s="50" t="n">
        <v>880.47</v>
      </c>
      <c r="G25" s="51" t="n">
        <v>-161.83</v>
      </c>
      <c r="H25" s="51" t="n">
        <v>-0.06</v>
      </c>
      <c r="I25" s="30" t="n">
        <v>691.04</v>
      </c>
      <c r="J25" s="51" t="n">
        <v>634.034</v>
      </c>
      <c r="K25" s="52">
        <f>IF(AND(B25="SELL",E25&gt;0,J25&lt;&gt;""),J25/E25,0)</f>
        <v/>
      </c>
      <c r="L25" s="52" t="n">
        <v>0.662</v>
      </c>
      <c r="M25" s="50">
        <f>IF(AND(B25="SELL",L25&gt;0),D25*L25,0)</f>
        <v/>
      </c>
      <c r="N25" s="46" t="n"/>
      <c r="O25" s="53">
        <f>IF(AND(B25="SELL",G25&lt;&gt;0),Q25/ABS(G25),0)</f>
        <v/>
      </c>
      <c r="P25" s="53">
        <f>IF(AND(B25="SELL",D25&gt;0),R25/D25,0)</f>
        <v/>
      </c>
      <c r="Q25" s="54">
        <f>IF(AND(B25="SELL",D25&gt;0,E25&gt;0),(D25/E25)+G25,0)</f>
        <v/>
      </c>
      <c r="R25" s="55">
        <f>IF(B25="SELL",Q25*F25,0)</f>
        <v/>
      </c>
      <c r="S25" s="35">
        <f>S24+R25</f>
        <v/>
      </c>
    </row>
    <row r="26" ht="15.75" customHeight="1" s="94">
      <c r="A26" s="36" t="n">
        <v>25</v>
      </c>
      <c r="B26" s="37" t="inlineStr">
        <is>
          <t>SELL</t>
        </is>
      </c>
      <c r="C26" s="38" t="n">
        <v>46086</v>
      </c>
      <c r="D26" s="39" t="n">
        <v>20000</v>
      </c>
      <c r="E26" s="40" t="n">
        <v>880.47</v>
      </c>
      <c r="F26" s="40" t="n">
        <v>880.47</v>
      </c>
      <c r="G26" s="41" t="n">
        <v>-20.89</v>
      </c>
      <c r="H26" s="41" t="n">
        <v>-0.06</v>
      </c>
      <c r="I26" s="19" t="n">
        <v>670.09</v>
      </c>
      <c r="J26" s="41" t="n">
        <v>633.76</v>
      </c>
      <c r="K26" s="42">
        <f>IF(AND(B26="SELL",E26&gt;0,J26&lt;&gt;""),J26/E26,0)</f>
        <v/>
      </c>
      <c r="L26" s="42" t="n">
        <v>0.662</v>
      </c>
      <c r="M26" s="40">
        <f>IF(AND(B26="SELL",L26&gt;0),D26*L26,0)</f>
        <v/>
      </c>
      <c r="N26" s="36" t="n"/>
      <c r="O26" s="43">
        <f>IF(AND(B26="SELL",G26&lt;&gt;0),Q26/ABS(G26),0)</f>
        <v/>
      </c>
      <c r="P26" s="43">
        <f>IF(AND(B26="SELL",D26&gt;0),R26/D26,0)</f>
        <v/>
      </c>
      <c r="Q26" s="44">
        <f>IF(AND(B26="SELL",D26&gt;0,E26&gt;0),(D26/E26)+G26,0)</f>
        <v/>
      </c>
      <c r="R26" s="45">
        <f>IF(B26="SELL",Q26*F26,0)</f>
        <v/>
      </c>
      <c r="S26" s="24">
        <f>S25+R26</f>
        <v/>
      </c>
    </row>
    <row r="27" ht="15.75" customHeight="1" s="94">
      <c r="A27" s="46" t="n">
        <v>26</v>
      </c>
      <c r="B27" s="47" t="inlineStr">
        <is>
          <t>SELL</t>
        </is>
      </c>
      <c r="C27" s="48" t="n">
        <v>46086</v>
      </c>
      <c r="D27" s="49" t="n">
        <v>50000</v>
      </c>
      <c r="E27" s="50" t="n">
        <v>880.47</v>
      </c>
      <c r="F27" s="50" t="n">
        <v>880.47</v>
      </c>
      <c r="G27" s="51" t="n">
        <v>-52.79</v>
      </c>
      <c r="H27" s="51" t="n">
        <v>-0.06</v>
      </c>
      <c r="I27" s="30" t="n">
        <v>617.24</v>
      </c>
      <c r="J27" s="51" t="n">
        <v>627</v>
      </c>
      <c r="K27" s="52">
        <f>IF(AND(B27="SELL",E27&gt;0,J27&lt;&gt;""),J27/E27,0)</f>
        <v/>
      </c>
      <c r="L27" s="52" t="n">
        <v>0.662</v>
      </c>
      <c r="M27" s="50">
        <f>IF(AND(B27="SELL",L27&gt;0),D27*L27,0)</f>
        <v/>
      </c>
      <c r="N27" s="46" t="n"/>
      <c r="O27" s="53">
        <f>IF(AND(B27="SELL",G27&lt;&gt;0),Q27/ABS(G27),0)</f>
        <v/>
      </c>
      <c r="P27" s="53">
        <f>IF(AND(B27="SELL",D27&gt;0),R27/D27,0)</f>
        <v/>
      </c>
      <c r="Q27" s="54">
        <f>IF(AND(B27="SELL",D27&gt;0,E27&gt;0),(D27/E27)+G27,0)</f>
        <v/>
      </c>
      <c r="R27" s="55">
        <f>IF(B27="SELL",Q27*F27,0)</f>
        <v/>
      </c>
      <c r="S27" s="35">
        <f>S26+R27</f>
        <v/>
      </c>
    </row>
    <row r="28" ht="15.75" customHeight="1" s="94">
      <c r="A28" s="36" t="n">
        <v>27</v>
      </c>
      <c r="B28" s="37" t="inlineStr">
        <is>
          <t>SELL</t>
        </is>
      </c>
      <c r="C28" s="38" t="n">
        <v>46086</v>
      </c>
      <c r="D28" s="39" t="n">
        <v>60000</v>
      </c>
      <c r="E28" s="40" t="n">
        <v>880.47</v>
      </c>
      <c r="F28" s="40" t="n">
        <v>880.47</v>
      </c>
      <c r="G28" s="41" t="n">
        <v>-63.65</v>
      </c>
      <c r="H28" s="41" t="n">
        <v>-0.06</v>
      </c>
      <c r="I28" s="19" t="n">
        <v>553.53</v>
      </c>
      <c r="J28" s="41" t="n">
        <v>624.001</v>
      </c>
      <c r="K28" s="42">
        <f>IF(AND(B28="SELL",E28&gt;0,J28&lt;&gt;""),J28/E28,0)</f>
        <v/>
      </c>
      <c r="L28" s="42" t="n">
        <v>0.662</v>
      </c>
      <c r="M28" s="40">
        <f>IF(AND(B28="SELL",L28&gt;0),D28*L28,0)</f>
        <v/>
      </c>
      <c r="N28" s="36" t="n"/>
      <c r="O28" s="43">
        <f>IF(AND(B28="SELL",G28&lt;&gt;0),Q28/ABS(G28),0)</f>
        <v/>
      </c>
      <c r="P28" s="43">
        <f>IF(AND(B28="SELL",D28&gt;0),R28/D28,0)</f>
        <v/>
      </c>
      <c r="Q28" s="44">
        <f>IF(AND(B28="SELL",D28&gt;0,E28&gt;0),(D28/E28)+G28,0)</f>
        <v/>
      </c>
      <c r="R28" s="45">
        <f>IF(B28="SELL",Q28*F28,0)</f>
        <v/>
      </c>
      <c r="S28" s="24">
        <f>S27+R28</f>
        <v/>
      </c>
    </row>
    <row r="29" ht="15.75" customHeight="1" s="94">
      <c r="A29" s="46" t="n">
        <v>28</v>
      </c>
      <c r="B29" s="47" t="inlineStr">
        <is>
          <t>SELL</t>
        </is>
      </c>
      <c r="C29" s="48" t="n">
        <v>46086</v>
      </c>
      <c r="D29" s="49" t="n">
        <v>20000</v>
      </c>
      <c r="E29" s="50" t="n">
        <v>880.47</v>
      </c>
      <c r="F29" s="50" t="n">
        <v>880.47</v>
      </c>
      <c r="G29" s="51" t="n">
        <v>-21.22</v>
      </c>
      <c r="H29" s="51" t="n">
        <v>-0.06</v>
      </c>
      <c r="I29" s="30" t="n">
        <v>532.25</v>
      </c>
      <c r="J29" s="51" t="n">
        <v>623.825</v>
      </c>
      <c r="K29" s="52">
        <f>IF(AND(B29="SELL",E29&gt;0,J29&lt;&gt;""),J29/E29,0)</f>
        <v/>
      </c>
      <c r="L29" s="52" t="n">
        <v>0.662</v>
      </c>
      <c r="M29" s="50">
        <f>IF(AND(B29="SELL",L29&gt;0),D29*L29,0)</f>
        <v/>
      </c>
      <c r="N29" s="46" t="n"/>
      <c r="O29" s="53">
        <f>IF(AND(B29="SELL",G29&lt;&gt;0),Q29/ABS(G29),0)</f>
        <v/>
      </c>
      <c r="P29" s="53">
        <f>IF(AND(B29="SELL",D29&gt;0),R29/D29,0)</f>
        <v/>
      </c>
      <c r="Q29" s="54">
        <f>IF(AND(B29="SELL",D29&gt;0,E29&gt;0),(D29/E29)+G29,0)</f>
        <v/>
      </c>
      <c r="R29" s="55">
        <f>IF(B29="SELL",Q29*F29,0)</f>
        <v/>
      </c>
      <c r="S29" s="35">
        <f>S28+R29</f>
        <v/>
      </c>
    </row>
    <row r="30" ht="15.75" customHeight="1" s="94">
      <c r="A30" s="36" t="n">
        <v>29</v>
      </c>
      <c r="B30" s="37" t="inlineStr">
        <is>
          <t>SELL</t>
        </is>
      </c>
      <c r="C30" s="38" t="n">
        <v>46086</v>
      </c>
      <c r="D30" s="39" t="n">
        <v>25000</v>
      </c>
      <c r="E30" s="40" t="n">
        <v>880.47</v>
      </c>
      <c r="F30" s="40" t="n">
        <v>880.47</v>
      </c>
      <c r="G30" s="41" t="n">
        <v>-26.6</v>
      </c>
      <c r="H30" s="41" t="n">
        <v>-0.06</v>
      </c>
      <c r="I30" s="19" t="n">
        <v>505.59</v>
      </c>
      <c r="J30" s="41" t="n">
        <v>622</v>
      </c>
      <c r="K30" s="42">
        <f>IF(AND(B30="SELL",E30&gt;0,J30&lt;&gt;""),J30/E30,0)</f>
        <v/>
      </c>
      <c r="L30" s="42" t="n">
        <v>0.662</v>
      </c>
      <c r="M30" s="40">
        <f>IF(AND(B30="SELL",L30&gt;0),D30*L30,0)</f>
        <v/>
      </c>
      <c r="N30" s="36" t="n"/>
      <c r="O30" s="43">
        <f>IF(AND(B30="SELL",G30&lt;&gt;0),Q30/ABS(G30),0)</f>
        <v/>
      </c>
      <c r="P30" s="43">
        <f>IF(AND(B30="SELL",D30&gt;0),R30/D30,0)</f>
        <v/>
      </c>
      <c r="Q30" s="44">
        <f>IF(AND(B30="SELL",D30&gt;0,E30&gt;0),(D30/E30)+G30,0)</f>
        <v/>
      </c>
      <c r="R30" s="45">
        <f>IF(B30="SELL",Q30*F30,0)</f>
        <v/>
      </c>
      <c r="S30" s="24">
        <f>S29+R30</f>
        <v/>
      </c>
    </row>
    <row r="31" ht="15.75" customHeight="1" s="94">
      <c r="A31" s="46" t="n">
        <v>30</v>
      </c>
      <c r="B31" s="47" t="inlineStr">
        <is>
          <t>SELL</t>
        </is>
      </c>
      <c r="C31" s="48" t="n">
        <v>46087</v>
      </c>
      <c r="D31" s="49" t="n">
        <v>60000</v>
      </c>
      <c r="E31" s="50" t="n">
        <v>880.47</v>
      </c>
      <c r="F31" s="50" t="n">
        <v>880.47</v>
      </c>
      <c r="G31" s="51" t="n">
        <v>-64.84</v>
      </c>
      <c r="H31" s="51" t="n">
        <v>-0.06</v>
      </c>
      <c r="I31" s="30" t="n">
        <v>440.69</v>
      </c>
      <c r="J31" s="51" t="n">
        <v>607</v>
      </c>
      <c r="K31" s="52">
        <f>IF(AND(B31="SELL",E31&gt;0,J31&lt;&gt;""),J31/E31,0)</f>
        <v/>
      </c>
      <c r="L31" s="52" t="n">
        <v>0.656</v>
      </c>
      <c r="M31" s="50">
        <f>IF(AND(B31="SELL",L31&gt;0),D31*L31,0)</f>
        <v/>
      </c>
      <c r="N31" s="46" t="n"/>
      <c r="O31" s="53">
        <f>IF(AND(B31="SELL",G31&lt;&gt;0),Q31/ABS(G31),0)</f>
        <v/>
      </c>
      <c r="P31" s="53">
        <f>IF(AND(B31="SELL",D31&gt;0),R31/D31,0)</f>
        <v/>
      </c>
      <c r="Q31" s="54">
        <f>IF(AND(B31="SELL",D31&gt;0,E31&gt;0),(D31/E31)+G31,0)</f>
        <v/>
      </c>
      <c r="R31" s="55">
        <f>IF(B31="SELL",Q31*F31,0)</f>
        <v/>
      </c>
      <c r="S31" s="35">
        <f>S30+R31</f>
        <v/>
      </c>
    </row>
    <row r="32" ht="15.75" customHeight="1" s="94">
      <c r="A32" s="36" t="n">
        <v>31</v>
      </c>
      <c r="B32" s="37" t="inlineStr">
        <is>
          <t>SELL</t>
        </is>
      </c>
      <c r="C32" s="38" t="n">
        <v>46087</v>
      </c>
      <c r="D32" s="39" t="n">
        <v>200000</v>
      </c>
      <c r="E32" s="40" t="n">
        <v>880.47</v>
      </c>
      <c r="F32" s="40" t="n">
        <v>880.47</v>
      </c>
      <c r="G32" s="41" t="n">
        <v>-213.62</v>
      </c>
      <c r="H32" s="41" t="n">
        <v>-0.06</v>
      </c>
      <c r="I32" s="19" t="n">
        <v>227.01</v>
      </c>
      <c r="J32" s="41" t="n">
        <v>615.101</v>
      </c>
      <c r="K32" s="42">
        <f>IF(AND(B32="SELL",E32&gt;0,J32&lt;&gt;""),J32/E32,0)</f>
        <v/>
      </c>
      <c r="L32" s="42" t="n">
        <v>0.657</v>
      </c>
      <c r="M32" s="40">
        <f>IF(AND(B32="SELL",L32&gt;0),D32*L32,0)</f>
        <v/>
      </c>
      <c r="N32" s="36" t="n"/>
      <c r="O32" s="43">
        <f>IF(AND(B32="SELL",G32&lt;&gt;0),Q32/ABS(G32),0)</f>
        <v/>
      </c>
      <c r="P32" s="43">
        <f>IF(AND(B32="SELL",D32&gt;0),R32/D32,0)</f>
        <v/>
      </c>
      <c r="Q32" s="44">
        <f>IF(AND(B32="SELL",D32&gt;0,E32&gt;0),(D32/E32)+G32,0)</f>
        <v/>
      </c>
      <c r="R32" s="45">
        <f>IF(B32="SELL",Q32*F32,0)</f>
        <v/>
      </c>
      <c r="S32" s="24">
        <f>S31+R32</f>
        <v/>
      </c>
    </row>
    <row r="33" ht="15.75" customHeight="1" s="94">
      <c r="A33" s="46" t="n">
        <v>32</v>
      </c>
      <c r="B33" s="47" t="inlineStr">
        <is>
          <t>SELL</t>
        </is>
      </c>
      <c r="C33" s="48" t="n">
        <v>46087</v>
      </c>
      <c r="D33" s="49" t="n">
        <v>15000</v>
      </c>
      <c r="E33" s="50" t="n">
        <v>880.47</v>
      </c>
      <c r="F33" s="50" t="n">
        <v>880.47</v>
      </c>
      <c r="G33" s="51" t="n">
        <v>-14.84</v>
      </c>
      <c r="H33" s="51" t="n">
        <v>-0.06</v>
      </c>
      <c r="I33" s="30" t="n">
        <v>212.11</v>
      </c>
      <c r="J33" s="51" t="n">
        <v>3.436</v>
      </c>
      <c r="K33" s="52">
        <f>IF(AND(B33="SELL",E33&gt;0,J33&lt;&gt;""),J33/E33,0)</f>
        <v/>
      </c>
      <c r="L33" s="52" t="n">
        <v>0.00344</v>
      </c>
      <c r="M33" s="50">
        <f>IF(AND(B33="SELL",L33&gt;0),D33*L33,0)</f>
        <v/>
      </c>
      <c r="N33" s="46" t="n"/>
      <c r="O33" s="53">
        <f>IF(AND(B33="SELL",G33&lt;&gt;0),Q33/ABS(G33),0)</f>
        <v/>
      </c>
      <c r="P33" s="53">
        <f>IF(AND(B33="SELL",D33&gt;0),R33/D33,0)</f>
        <v/>
      </c>
      <c r="Q33" s="54">
        <f>IF(AND(B33="SELL",D33&gt;0,E33&gt;0),(D33/E33)+G33,0)</f>
        <v/>
      </c>
      <c r="R33" s="55">
        <f>IF(B33="SELL",Q33*F33,0)</f>
        <v/>
      </c>
      <c r="S33" s="35">
        <f>S32+R33</f>
        <v/>
      </c>
    </row>
    <row r="34" ht="15.75" customHeight="1" s="94">
      <c r="A34" s="14" t="n">
        <v>33</v>
      </c>
      <c r="B34" s="15" t="inlineStr">
        <is>
          <t>BUY</t>
        </is>
      </c>
      <c r="C34" s="16" t="n">
        <v>46087</v>
      </c>
      <c r="D34" s="17" t="n">
        <v>2544000</v>
      </c>
      <c r="E34" s="18" t="n">
        <v>917.9</v>
      </c>
      <c r="F34" s="18" t="n">
        <v>917.9</v>
      </c>
      <c r="G34" s="19" t="n">
        <v>2771.54</v>
      </c>
      <c r="H34" s="19" t="n">
        <v>-0.06</v>
      </c>
      <c r="I34" s="19" t="n">
        <v>2983.59</v>
      </c>
      <c r="J34" s="19" t="n"/>
      <c r="K34" s="20">
        <f>IF(AND(B34="SELL",E34&gt;0,J34&lt;&gt;""),J34/E34,0)</f>
        <v/>
      </c>
      <c r="L34" s="20" t="n"/>
      <c r="M34" s="18">
        <f>IF(AND(B34="SELL",L34&gt;0),D34*L34,0)</f>
        <v/>
      </c>
      <c r="N34" s="14" t="n"/>
      <c r="O34" s="21">
        <f>IF(AND(B34="SELL",G34&lt;&gt;0),Q34/ABS(G34),0)</f>
        <v/>
      </c>
      <c r="P34" s="21">
        <f>IF(AND(B34="SELL",D34&gt;0),R34/D34,0)</f>
        <v/>
      </c>
      <c r="Q34" s="22">
        <f>IF(AND(B34="SELL",D34&gt;0,E34&gt;0),(D34/E34)+G34,0)</f>
        <v/>
      </c>
      <c r="R34" s="23">
        <f>IF(B34="SELL",Q34*F34,0)</f>
        <v/>
      </c>
      <c r="S34" s="24">
        <f>S33+R34</f>
        <v/>
      </c>
    </row>
    <row r="35" ht="15.75" customHeight="1" s="94">
      <c r="A35" s="46" t="n">
        <v>34</v>
      </c>
      <c r="B35" s="47" t="inlineStr">
        <is>
          <t>SELL</t>
        </is>
      </c>
      <c r="C35" s="48" t="n">
        <v>46087</v>
      </c>
      <c r="D35" s="49" t="n">
        <v>394000</v>
      </c>
      <c r="E35" s="50" t="n">
        <v>917.9</v>
      </c>
      <c r="F35" s="50" t="n">
        <v>917.9</v>
      </c>
      <c r="G35" s="51" t="n">
        <v>-420.89</v>
      </c>
      <c r="H35" s="51" t="n">
        <v>-0.06</v>
      </c>
      <c r="I35" s="30" t="n">
        <v>2562.64</v>
      </c>
      <c r="J35" s="51" t="n">
        <v>615.361</v>
      </c>
      <c r="K35" s="52">
        <f>IF(AND(B35="SELL",E35&gt;0,J35&lt;&gt;""),J35/E35,0)</f>
        <v/>
      </c>
      <c r="L35" s="52" t="n">
        <v>0.657</v>
      </c>
      <c r="M35" s="50">
        <f>IF(AND(B35="SELL",L35&gt;0),D35*L35,0)</f>
        <v/>
      </c>
      <c r="N35" s="46" t="n"/>
      <c r="O35" s="53">
        <f>IF(AND(B35="SELL",G35&lt;&gt;0),Q35/ABS(G35),0)</f>
        <v/>
      </c>
      <c r="P35" s="53">
        <f>IF(AND(B35="SELL",D35&gt;0),R35/D35,0)</f>
        <v/>
      </c>
      <c r="Q35" s="54">
        <f>IF(AND(B35="SELL",D35&gt;0,E35&gt;0),(D35/E35)+G35,0)</f>
        <v/>
      </c>
      <c r="R35" s="55">
        <f>IF(B35="SELL",Q35*F35,0)</f>
        <v/>
      </c>
      <c r="S35" s="35">
        <f>S34+R35</f>
        <v/>
      </c>
    </row>
    <row r="36" ht="15.75" customHeight="1" s="94">
      <c r="A36" s="36" t="n">
        <v>35</v>
      </c>
      <c r="B36" s="37" t="inlineStr">
        <is>
          <t>SELL</t>
        </is>
      </c>
      <c r="C36" s="38" t="n">
        <v>46088</v>
      </c>
      <c r="D36" s="39" t="n">
        <v>10000</v>
      </c>
      <c r="E36" s="40" t="n">
        <v>917.9</v>
      </c>
      <c r="F36" s="40" t="n">
        <v>917.9</v>
      </c>
      <c r="G36" s="41" t="n">
        <v>-10.37</v>
      </c>
      <c r="H36" s="41" t="n">
        <v>-0.06</v>
      </c>
      <c r="I36" s="19" t="n">
        <v>2607.15</v>
      </c>
      <c r="J36" s="41" t="n">
        <v>607.15</v>
      </c>
      <c r="K36" s="42">
        <f>IF(AND(B36="SELL",E36&gt;0,J36&lt;&gt;""),J36/E36,0)</f>
        <v/>
      </c>
      <c r="L36" s="42" t="n">
        <v>0.63</v>
      </c>
      <c r="M36" s="40">
        <f>IF(AND(B36="SELL",L36&gt;0),D36*L36,0)</f>
        <v/>
      </c>
      <c r="N36" s="36" t="n"/>
      <c r="O36" s="43">
        <f>IF(AND(B36="SELL",G36&lt;&gt;0),Q36/ABS(G36),0)</f>
        <v/>
      </c>
      <c r="P36" s="43">
        <f>IF(AND(B36="SELL",D36&gt;0),R36/D36,0)</f>
        <v/>
      </c>
      <c r="Q36" s="44">
        <f>IF(AND(B36="SELL",D36&gt;0,E36&gt;0),(D36/E36)+G36,0)</f>
        <v/>
      </c>
      <c r="R36" s="45">
        <f>IF(B36="SELL",Q36*F36,0)</f>
        <v/>
      </c>
      <c r="S36" s="24">
        <f>S35+R36</f>
        <v/>
      </c>
    </row>
    <row r="37" ht="15.75" customHeight="1" s="94">
      <c r="A37" s="46" t="n">
        <v>36</v>
      </c>
      <c r="B37" s="47" t="inlineStr">
        <is>
          <t>SELL</t>
        </is>
      </c>
      <c r="C37" s="48" t="n">
        <v>46088</v>
      </c>
      <c r="D37" s="49" t="n">
        <v>20000</v>
      </c>
      <c r="E37" s="50" t="n">
        <v>917.9</v>
      </c>
      <c r="F37" s="50" t="n">
        <v>917.9</v>
      </c>
      <c r="G37" s="51" t="n">
        <v>-21.06</v>
      </c>
      <c r="H37" s="51" t="n">
        <v>-0.06</v>
      </c>
      <c r="I37" s="30" t="n">
        <v>2586.03</v>
      </c>
      <c r="J37" s="51" t="n">
        <v>598.01</v>
      </c>
      <c r="K37" s="52">
        <f>IF(AND(B37="SELL",E37&gt;0,J37&lt;&gt;""),J37/E37,0)</f>
        <v/>
      </c>
      <c r="L37" s="52" t="n">
        <v>0.63</v>
      </c>
      <c r="M37" s="50">
        <f>IF(AND(B37="SELL",L37&gt;0),D37*L37,0)</f>
        <v/>
      </c>
      <c r="N37" s="46" t="n"/>
      <c r="O37" s="53">
        <f>IF(AND(B37="SELL",G37&lt;&gt;0),Q37/ABS(G37),0)</f>
        <v/>
      </c>
      <c r="P37" s="53">
        <f>IF(AND(B37="SELL",D37&gt;0),R37/D37,0)</f>
        <v/>
      </c>
      <c r="Q37" s="54">
        <f>IF(AND(B37="SELL",D37&gt;0,E37&gt;0),(D37/E37)+G37,0)</f>
        <v/>
      </c>
      <c r="R37" s="55">
        <f>IF(B37="SELL",Q37*F37,0)</f>
        <v/>
      </c>
      <c r="S37" s="35">
        <f>S36+R37</f>
        <v/>
      </c>
    </row>
    <row r="38" ht="15.75" customHeight="1" s="94">
      <c r="A38" s="36" t="n">
        <v>37</v>
      </c>
      <c r="B38" s="37" t="inlineStr">
        <is>
          <t>SELL</t>
        </is>
      </c>
      <c r="C38" s="38" t="n">
        <v>46088</v>
      </c>
      <c r="D38" s="39" t="n">
        <v>14000</v>
      </c>
      <c r="E38" s="40" t="n">
        <v>917.9</v>
      </c>
      <c r="F38" s="40" t="n">
        <v>917.9</v>
      </c>
      <c r="G38" s="41" t="n">
        <v>-14.56</v>
      </c>
      <c r="H38" s="41" t="n">
        <v>-0.06</v>
      </c>
      <c r="I38" s="19" t="n">
        <v>2571.41</v>
      </c>
      <c r="J38" s="41" t="n">
        <v>605.551</v>
      </c>
      <c r="K38" s="42">
        <f>IF(AND(B38="SELL",E38&gt;0,J38&lt;&gt;""),J38/E38,0)</f>
        <v/>
      </c>
      <c r="L38" s="42" t="n">
        <v>0.63</v>
      </c>
      <c r="M38" s="40">
        <f>IF(AND(B38="SELL",L38&gt;0),D38*L38,0)</f>
        <v/>
      </c>
      <c r="N38" s="36" t="n"/>
      <c r="O38" s="43">
        <f>IF(AND(B38="SELL",G38&lt;&gt;0),Q38/ABS(G38),0)</f>
        <v/>
      </c>
      <c r="P38" s="43">
        <f>IF(AND(B38="SELL",D38&gt;0),R38/D38,0)</f>
        <v/>
      </c>
      <c r="Q38" s="44">
        <f>IF(AND(B38="SELL",D38&gt;0,E38&gt;0),(D38/E38)+G38,0)</f>
        <v/>
      </c>
      <c r="R38" s="45">
        <f>IF(B38="SELL",Q38*F38,0)</f>
        <v/>
      </c>
      <c r="S38" s="24">
        <f>S37+R38</f>
        <v/>
      </c>
    </row>
    <row r="39" ht="15.75" customHeight="1" s="94">
      <c r="A39" s="46" t="n">
        <v>38</v>
      </c>
      <c r="B39" s="47" t="inlineStr">
        <is>
          <t>SELL</t>
        </is>
      </c>
      <c r="C39" s="48" t="n">
        <v>46088</v>
      </c>
      <c r="D39" s="49" t="n">
        <v>100000</v>
      </c>
      <c r="E39" s="50" t="n">
        <v>917.9</v>
      </c>
      <c r="F39" s="50" t="n">
        <v>917.9</v>
      </c>
      <c r="G39" s="51" t="n">
        <v>-104.63</v>
      </c>
      <c r="H39" s="51" t="n">
        <v>-0.06</v>
      </c>
      <c r="I39" s="30" t="n">
        <v>2466.72</v>
      </c>
      <c r="J39" s="51" t="n">
        <v>602.121</v>
      </c>
      <c r="K39" s="52">
        <f>IF(AND(B39="SELL",E39&gt;0,J39&lt;&gt;""),J39/E39,0)</f>
        <v/>
      </c>
      <c r="L39" s="52" t="n">
        <v>0.63</v>
      </c>
      <c r="M39" s="50">
        <f>IF(AND(B39="SELL",L39&gt;0),D39*L39,0)</f>
        <v/>
      </c>
      <c r="N39" s="46" t="n"/>
      <c r="O39" s="53">
        <f>IF(AND(B39="SELL",G39&lt;&gt;0),Q39/ABS(G39),0)</f>
        <v/>
      </c>
      <c r="P39" s="53">
        <f>IF(AND(B39="SELL",D39&gt;0),R39/D39,0)</f>
        <v/>
      </c>
      <c r="Q39" s="54">
        <f>IF(AND(B39="SELL",D39&gt;0,E39&gt;0),(D39/E39)+G39,0)</f>
        <v/>
      </c>
      <c r="R39" s="55">
        <f>IF(B39="SELL",Q39*F39,0)</f>
        <v/>
      </c>
      <c r="S39" s="35">
        <f>S38+R39</f>
        <v/>
      </c>
    </row>
    <row r="40" ht="15.75" customHeight="1" s="94">
      <c r="A40" s="36" t="n">
        <v>39</v>
      </c>
      <c r="B40" s="37" t="inlineStr">
        <is>
          <t>SELL</t>
        </is>
      </c>
      <c r="C40" s="38" t="n">
        <v>46088</v>
      </c>
      <c r="D40" s="39" t="n">
        <v>10000</v>
      </c>
      <c r="E40" s="40" t="n">
        <v>917.9</v>
      </c>
      <c r="F40" s="40" t="n">
        <v>917.9</v>
      </c>
      <c r="G40" s="41" t="n">
        <v>-10.51</v>
      </c>
      <c r="H40" s="41" t="n">
        <v>-0.06</v>
      </c>
      <c r="I40" s="19" t="n">
        <v>2456.15</v>
      </c>
      <c r="J40" s="41" t="n">
        <v>599.4</v>
      </c>
      <c r="K40" s="42">
        <f>IF(AND(B40="SELL",E40&gt;0,J40&lt;&gt;""),J40/E40,0)</f>
        <v/>
      </c>
      <c r="L40" s="42" t="n">
        <v>0.63</v>
      </c>
      <c r="M40" s="40">
        <f>IF(AND(B40="SELL",L40&gt;0),D40*L40,0)</f>
        <v/>
      </c>
      <c r="N40" s="36" t="n"/>
      <c r="O40" s="43">
        <f>IF(AND(B40="SELL",G40&lt;&gt;0),Q40/ABS(G40),0)</f>
        <v/>
      </c>
      <c r="P40" s="43">
        <f>IF(AND(B40="SELL",D40&gt;0),R40/D40,0)</f>
        <v/>
      </c>
      <c r="Q40" s="44">
        <f>IF(AND(B40="SELL",D40&gt;0,E40&gt;0),(D40/E40)+G40,0)</f>
        <v/>
      </c>
      <c r="R40" s="45">
        <f>IF(B40="SELL",Q40*F40,0)</f>
        <v/>
      </c>
      <c r="S40" s="24">
        <f>S39+R40</f>
        <v/>
      </c>
    </row>
    <row r="41" ht="15.75" customHeight="1" s="94">
      <c r="A41" s="46" t="n">
        <v>40</v>
      </c>
      <c r="B41" s="47" t="inlineStr">
        <is>
          <t>SELL</t>
        </is>
      </c>
      <c r="C41" s="48" t="n">
        <v>46088</v>
      </c>
      <c r="D41" s="49" t="n">
        <v>16000</v>
      </c>
      <c r="E41" s="50" t="n">
        <v>917.9</v>
      </c>
      <c r="F41" s="50" t="n">
        <v>917.9</v>
      </c>
      <c r="G41" s="51" t="n">
        <v>-16.95</v>
      </c>
      <c r="H41" s="51" t="n">
        <v>-0.06</v>
      </c>
      <c r="I41" s="30" t="n">
        <v>2439.14</v>
      </c>
      <c r="J41" s="51" t="n">
        <v>594.58</v>
      </c>
      <c r="K41" s="52">
        <f>IF(AND(B41="SELL",E41&gt;0,J41&lt;&gt;""),J41/E41,0)</f>
        <v/>
      </c>
      <c r="L41" s="52" t="n">
        <v>0.63</v>
      </c>
      <c r="M41" s="50">
        <f>IF(AND(B41="SELL",L41&gt;0),D41*L41,0)</f>
        <v/>
      </c>
      <c r="N41" s="46" t="n"/>
      <c r="O41" s="53">
        <f>IF(AND(B41="SELL",G41&lt;&gt;0),Q41/ABS(G41),0)</f>
        <v/>
      </c>
      <c r="P41" s="53">
        <f>IF(AND(B41="SELL",D41&gt;0),R41/D41,0)</f>
        <v/>
      </c>
      <c r="Q41" s="54">
        <f>IF(AND(B41="SELL",D41&gt;0,E41&gt;0),(D41/E41)+G41,0)</f>
        <v/>
      </c>
      <c r="R41" s="55">
        <f>IF(B41="SELL",Q41*F41,0)</f>
        <v/>
      </c>
      <c r="S41" s="35">
        <f>S40+R41</f>
        <v/>
      </c>
    </row>
    <row r="42" ht="15.75" customHeight="1" s="94">
      <c r="A42" s="36" t="n">
        <v>41</v>
      </c>
      <c r="B42" s="37" t="inlineStr">
        <is>
          <t>SELL</t>
        </is>
      </c>
      <c r="C42" s="38" t="n">
        <v>46088</v>
      </c>
      <c r="D42" s="39" t="n">
        <v>30000</v>
      </c>
      <c r="E42" s="40" t="n">
        <v>917.9</v>
      </c>
      <c r="F42" s="40" t="n">
        <v>917.9</v>
      </c>
      <c r="G42" s="41" t="n">
        <v>-31.63</v>
      </c>
      <c r="H42" s="41" t="n">
        <v>-0.06</v>
      </c>
      <c r="I42" s="19" t="n">
        <v>2407.45</v>
      </c>
      <c r="J42" s="41" t="n">
        <v>597.354</v>
      </c>
      <c r="K42" s="42">
        <f>IF(AND(B42="SELL",E42&gt;0,J42&lt;&gt;""),J42/E42,0)</f>
        <v/>
      </c>
      <c r="L42" s="42" t="n">
        <v>0.63</v>
      </c>
      <c r="M42" s="40">
        <f>IF(AND(B42="SELL",L42&gt;0),D42*L42,0)</f>
        <v/>
      </c>
      <c r="N42" s="36" t="n"/>
      <c r="O42" s="43">
        <f>IF(AND(B42="SELL",G42&lt;&gt;0),Q42/ABS(G42),0)</f>
        <v/>
      </c>
      <c r="P42" s="43">
        <f>IF(AND(B42="SELL",D42&gt;0),R42/D42,0)</f>
        <v/>
      </c>
      <c r="Q42" s="44">
        <f>IF(AND(B42="SELL",D42&gt;0,E42&gt;0),(D42/E42)+G42,0)</f>
        <v/>
      </c>
      <c r="R42" s="45">
        <f>IF(B42="SELL",Q42*F42,0)</f>
        <v/>
      </c>
      <c r="S42" s="24">
        <f>S41+R42</f>
        <v/>
      </c>
    </row>
    <row r="43" ht="15.75" customHeight="1" s="94">
      <c r="A43" s="46" t="n">
        <v>42</v>
      </c>
      <c r="B43" s="47" t="inlineStr">
        <is>
          <t>SELL</t>
        </is>
      </c>
      <c r="C43" s="48" t="n">
        <v>46089</v>
      </c>
      <c r="D43" s="49" t="n">
        <v>30000</v>
      </c>
      <c r="E43" s="50" t="n">
        <v>917.9</v>
      </c>
      <c r="F43" s="50" t="n">
        <v>917.9</v>
      </c>
      <c r="G43" s="51" t="n">
        <v>-29.93</v>
      </c>
      <c r="H43" s="51" t="n">
        <v>-0.06</v>
      </c>
      <c r="I43" s="30" t="n">
        <v>2377.46</v>
      </c>
      <c r="J43" s="51" t="n">
        <v>3.509</v>
      </c>
      <c r="K43" s="52">
        <f>IF(AND(B43="SELL",E43&gt;0,J43&lt;&gt;""),J43/E43,0)</f>
        <v/>
      </c>
      <c r="L43" s="52" t="n">
        <v>0.0035</v>
      </c>
      <c r="M43" s="50">
        <f>IF(AND(B43="SELL",L43&gt;0),D43*L43,0)</f>
        <v/>
      </c>
      <c r="N43" s="46" t="n"/>
      <c r="O43" s="53">
        <f>IF(AND(B43="SELL",G43&lt;&gt;0),Q43/ABS(G43),0)</f>
        <v/>
      </c>
      <c r="P43" s="53">
        <f>IF(AND(B43="SELL",D43&gt;0),R43/D43,0)</f>
        <v/>
      </c>
      <c r="Q43" s="54">
        <f>IF(AND(B43="SELL",D43&gt;0,E43&gt;0),(D43/E43)+G43,0)</f>
        <v/>
      </c>
      <c r="R43" s="55">
        <f>IF(B43="SELL",Q43*F43,0)</f>
        <v/>
      </c>
      <c r="S43" s="35">
        <f>S42+R43</f>
        <v/>
      </c>
    </row>
    <row r="44" ht="15.75" customHeight="1" s="94">
      <c r="A44" s="36" t="n">
        <v>43</v>
      </c>
      <c r="B44" s="37" t="inlineStr">
        <is>
          <t>SELL</t>
        </is>
      </c>
      <c r="C44" s="38" t="n">
        <v>46089</v>
      </c>
      <c r="D44" s="39" t="n">
        <v>20000</v>
      </c>
      <c r="E44" s="40" t="n">
        <v>917.9</v>
      </c>
      <c r="F44" s="40" t="n">
        <v>917.9</v>
      </c>
      <c r="G44" s="41" t="n">
        <v>-20.55</v>
      </c>
      <c r="H44" s="41" t="n">
        <v>-0.06</v>
      </c>
      <c r="I44" s="19" t="n">
        <v>2356.85</v>
      </c>
      <c r="J44" s="41" t="n">
        <v>598.4</v>
      </c>
      <c r="K44" s="42">
        <f>IF(AND(B44="SELL",E44&gt;0,J44&lt;&gt;""),J44/E44,0)</f>
        <v/>
      </c>
      <c r="L44" s="42" t="n">
        <v>0.615</v>
      </c>
      <c r="M44" s="40">
        <f>IF(AND(B44="SELL",L44&gt;0),D44*L44,0)</f>
        <v/>
      </c>
      <c r="N44" s="36" t="n"/>
      <c r="O44" s="43">
        <f>IF(AND(B44="SELL",G44&lt;&gt;0),Q44/ABS(G44),0)</f>
        <v/>
      </c>
      <c r="P44" s="43">
        <f>IF(AND(B44="SELL",D44&gt;0),R44/D44,0)</f>
        <v/>
      </c>
      <c r="Q44" s="44">
        <f>IF(AND(B44="SELL",D44&gt;0,E44&gt;0),(D44/E44)+G44,0)</f>
        <v/>
      </c>
      <c r="R44" s="45">
        <f>IF(B44="SELL",Q44*F44,0)</f>
        <v/>
      </c>
      <c r="S44" s="24">
        <f>S43+R44</f>
        <v/>
      </c>
    </row>
    <row r="45" ht="15.75" customHeight="1" s="94">
      <c r="A45" s="46" t="n">
        <v>44</v>
      </c>
      <c r="B45" s="47" t="inlineStr">
        <is>
          <t>SELL</t>
        </is>
      </c>
      <c r="C45" s="48" t="n">
        <v>46089</v>
      </c>
      <c r="D45" s="49" t="n">
        <v>20000</v>
      </c>
      <c r="E45" s="50" t="n">
        <v>917.9</v>
      </c>
      <c r="F45" s="50" t="n">
        <v>917.9</v>
      </c>
      <c r="G45" s="51" t="n">
        <v>-20.55</v>
      </c>
      <c r="H45" s="51" t="n">
        <v>-0.06</v>
      </c>
      <c r="I45" s="30" t="n">
        <v>2336.24</v>
      </c>
      <c r="J45" s="51" t="n">
        <v>598.5</v>
      </c>
      <c r="K45" s="52">
        <f>IF(AND(B45="SELL",E45&gt;0,J45&lt;&gt;""),J45/E45,0)</f>
        <v/>
      </c>
      <c r="L45" s="52" t="n">
        <v>0.615</v>
      </c>
      <c r="M45" s="50">
        <f>IF(AND(B45="SELL",L45&gt;0),D45*L45,0)</f>
        <v/>
      </c>
      <c r="N45" s="46" t="n"/>
      <c r="O45" s="53">
        <f>IF(AND(B45="SELL",G45&lt;&gt;0),Q45/ABS(G45),0)</f>
        <v/>
      </c>
      <c r="P45" s="53">
        <f>IF(AND(B45="SELL",D45&gt;0),R45/D45,0)</f>
        <v/>
      </c>
      <c r="Q45" s="54">
        <f>IF(AND(B45="SELL",D45&gt;0,E45&gt;0),(D45/E45)+G45,0)</f>
        <v/>
      </c>
      <c r="R45" s="55">
        <f>IF(B45="SELL",Q45*F45,0)</f>
        <v/>
      </c>
      <c r="S45" s="35">
        <f>S44+R45</f>
        <v/>
      </c>
    </row>
    <row r="46" ht="15.75" customHeight="1" s="94">
      <c r="A46" s="36" t="n">
        <v>45</v>
      </c>
      <c r="B46" s="37" t="inlineStr">
        <is>
          <t>SELL</t>
        </is>
      </c>
      <c r="C46" s="38" t="n">
        <v>46089</v>
      </c>
      <c r="D46" s="39" t="n">
        <v>10000</v>
      </c>
      <c r="E46" s="40" t="n">
        <v>917.9</v>
      </c>
      <c r="F46" s="40" t="n">
        <v>917.9</v>
      </c>
      <c r="G46" s="41" t="n">
        <v>-10.26</v>
      </c>
      <c r="H46" s="41" t="n">
        <v>-0.06</v>
      </c>
      <c r="I46" s="19" t="n">
        <v>2325.92</v>
      </c>
      <c r="J46" s="41" t="n">
        <v>599.08</v>
      </c>
      <c r="K46" s="42">
        <f>IF(AND(B46="SELL",E46&gt;0,J46&lt;&gt;""),J46/E46,0)</f>
        <v/>
      </c>
      <c r="L46" s="42" t="n">
        <v>0.615</v>
      </c>
      <c r="M46" s="40">
        <f>IF(AND(B46="SELL",L46&gt;0),D46*L46,0)</f>
        <v/>
      </c>
      <c r="N46" s="36" t="n"/>
      <c r="O46" s="43">
        <f>IF(AND(B46="SELL",G46&lt;&gt;0),Q46/ABS(G46),0)</f>
        <v/>
      </c>
      <c r="P46" s="43">
        <f>IF(AND(B46="SELL",D46&gt;0),R46/D46,0)</f>
        <v/>
      </c>
      <c r="Q46" s="44">
        <f>IF(AND(B46="SELL",D46&gt;0,E46&gt;0),(D46/E46)+G46,0)</f>
        <v/>
      </c>
      <c r="R46" s="45">
        <f>IF(B46="SELL",Q46*F46,0)</f>
        <v/>
      </c>
      <c r="S46" s="24">
        <f>S45+R46</f>
        <v/>
      </c>
    </row>
    <row r="47" ht="15.75" customHeight="1" s="94">
      <c r="A47" s="46" t="n">
        <v>46</v>
      </c>
      <c r="B47" s="47" t="inlineStr">
        <is>
          <t>SELL</t>
        </is>
      </c>
      <c r="C47" s="48" t="n">
        <v>46089</v>
      </c>
      <c r="D47" s="49" t="n">
        <v>20000</v>
      </c>
      <c r="E47" s="50" t="n">
        <v>917.9</v>
      </c>
      <c r="F47" s="50" t="n">
        <v>917.9</v>
      </c>
      <c r="G47" s="51" t="n">
        <v>-20.4</v>
      </c>
      <c r="H47" s="51" t="n">
        <v>-0.06</v>
      </c>
      <c r="I47" s="30" t="n">
        <v>2305.46</v>
      </c>
      <c r="J47" s="51" t="n">
        <v>602.86</v>
      </c>
      <c r="K47" s="52">
        <f>IF(AND(B47="SELL",E47&gt;0,J47&lt;&gt;""),J47/E47,0)</f>
        <v/>
      </c>
      <c r="L47" s="52" t="n">
        <v>0.615</v>
      </c>
      <c r="M47" s="50">
        <f>IF(AND(B47="SELL",L47&gt;0),D47*L47,0)</f>
        <v/>
      </c>
      <c r="N47" s="46" t="n"/>
      <c r="O47" s="53">
        <f>IF(AND(B47="SELL",G47&lt;&gt;0),Q47/ABS(G47),0)</f>
        <v/>
      </c>
      <c r="P47" s="53">
        <f>IF(AND(B47="SELL",D47&gt;0),R47/D47,0)</f>
        <v/>
      </c>
      <c r="Q47" s="54">
        <f>IF(AND(B47="SELL",D47&gt;0,E47&gt;0),(D47/E47)+G47,0)</f>
        <v/>
      </c>
      <c r="R47" s="55">
        <f>IF(B47="SELL",Q47*F47,0)</f>
        <v/>
      </c>
      <c r="S47" s="35">
        <f>S46+R47</f>
        <v/>
      </c>
    </row>
    <row r="48" ht="15.75" customHeight="1" s="94">
      <c r="A48" s="36" t="n">
        <v>47</v>
      </c>
      <c r="B48" s="37" t="inlineStr">
        <is>
          <t>SELL</t>
        </is>
      </c>
      <c r="C48" s="38" t="n">
        <v>46089</v>
      </c>
      <c r="D48" s="39" t="n">
        <v>100000</v>
      </c>
      <c r="E48" s="40" t="n">
        <v>917.9</v>
      </c>
      <c r="F48" s="40" t="n">
        <v>917.9</v>
      </c>
      <c r="G48" s="41" t="n">
        <v>-101.28</v>
      </c>
      <c r="H48" s="41" t="n">
        <v>-0.06</v>
      </c>
      <c r="I48" s="19" t="n">
        <v>2204.12</v>
      </c>
      <c r="J48" s="41" t="n">
        <v>607.202</v>
      </c>
      <c r="K48" s="42">
        <f>IF(AND(B48="SELL",E48&gt;0,J48&lt;&gt;""),J48/E48,0)</f>
        <v/>
      </c>
      <c r="L48" s="42" t="n">
        <v>0.615</v>
      </c>
      <c r="M48" s="40">
        <f>IF(AND(B48="SELL",L48&gt;0),D48*L48,0)</f>
        <v/>
      </c>
      <c r="N48" s="36" t="n"/>
      <c r="O48" s="43">
        <f>IF(AND(B48="SELL",G48&lt;&gt;0),Q48/ABS(G48),0)</f>
        <v/>
      </c>
      <c r="P48" s="43">
        <f>IF(AND(B48="SELL",D48&gt;0),R48/D48,0)</f>
        <v/>
      </c>
      <c r="Q48" s="44">
        <f>IF(AND(B48="SELL",D48&gt;0,E48&gt;0),(D48/E48)+G48,0)</f>
        <v/>
      </c>
      <c r="R48" s="45">
        <f>IF(B48="SELL",Q48*F48,0)</f>
        <v/>
      </c>
      <c r="S48" s="24">
        <f>S47+R48</f>
        <v/>
      </c>
    </row>
    <row r="49" ht="15.75" customHeight="1" s="94">
      <c r="A49" s="46" t="n">
        <v>48</v>
      </c>
      <c r="B49" s="47" t="inlineStr">
        <is>
          <t>SELL</t>
        </is>
      </c>
      <c r="C49" s="48" t="n">
        <v>46090</v>
      </c>
      <c r="D49" s="49" t="n">
        <v>243500</v>
      </c>
      <c r="E49" s="50" t="n">
        <v>917.9</v>
      </c>
      <c r="F49" s="50" t="n">
        <v>917.9</v>
      </c>
      <c r="G49" s="51" t="n">
        <v>-247.91</v>
      </c>
      <c r="H49" s="51" t="n">
        <v>-0.06</v>
      </c>
      <c r="I49" s="30" t="n">
        <v>1956.15</v>
      </c>
      <c r="J49" s="51" t="n">
        <v>611.501</v>
      </c>
      <c r="K49" s="52">
        <f>IF(AND(B49="SELL",E49&gt;0,J49&lt;&gt;""),J49/E49,0)</f>
        <v/>
      </c>
      <c r="L49" s="52" t="n">
        <v>0.623</v>
      </c>
      <c r="M49" s="50">
        <f>IF(AND(B49="SELL",L49&gt;0),D49*L49,0)</f>
        <v/>
      </c>
      <c r="N49" s="46" t="n"/>
      <c r="O49" s="53">
        <f>IF(AND(B49="SELL",G49&lt;&gt;0),Q49/ABS(G49),0)</f>
        <v/>
      </c>
      <c r="P49" s="53">
        <f>IF(AND(B49="SELL",D49&gt;0),R49/D49,0)</f>
        <v/>
      </c>
      <c r="Q49" s="54">
        <f>IF(AND(B49="SELL",D49&gt;0,E49&gt;0),(D49/E49)+G49,0)</f>
        <v/>
      </c>
      <c r="R49" s="55">
        <f>IF(B49="SELL",Q49*F49,0)</f>
        <v/>
      </c>
      <c r="S49" s="35">
        <f>S48+R49</f>
        <v/>
      </c>
    </row>
    <row r="50" ht="15.75" customHeight="1" s="94">
      <c r="A50" s="36" t="n">
        <v>49</v>
      </c>
      <c r="B50" s="37" t="inlineStr">
        <is>
          <t>SELL</t>
        </is>
      </c>
      <c r="C50" s="38" t="n">
        <v>46090</v>
      </c>
      <c r="D50" s="39" t="n">
        <v>133650</v>
      </c>
      <c r="E50" s="40" t="n">
        <v>917.9</v>
      </c>
      <c r="F50" s="40" t="n">
        <v>917.9</v>
      </c>
      <c r="G50" s="41" t="n">
        <v>-137.52</v>
      </c>
      <c r="H50" s="41" t="n">
        <v>-0.06</v>
      </c>
      <c r="I50" s="19" t="n">
        <v>1818.57</v>
      </c>
      <c r="J50" s="41" t="n">
        <v>605.51</v>
      </c>
      <c r="K50" s="42">
        <f>IF(AND(B50="SELL",E50&gt;0,J50&lt;&gt;""),J50/E50,0)</f>
        <v/>
      </c>
      <c r="L50" s="42" t="n">
        <v>0.623</v>
      </c>
      <c r="M50" s="40">
        <f>IF(AND(B50="SELL",L50&gt;0),D50*L50,0)</f>
        <v/>
      </c>
      <c r="N50" s="36" t="n"/>
      <c r="O50" s="43">
        <f>IF(AND(B50="SELL",G50&lt;&gt;0),Q50/ABS(G50),0)</f>
        <v/>
      </c>
      <c r="P50" s="43">
        <f>IF(AND(B50="SELL",D50&gt;0),R50/D50,0)</f>
        <v/>
      </c>
      <c r="Q50" s="44">
        <f>IF(AND(B50="SELL",D50&gt;0,E50&gt;0),(D50/E50)+G50,0)</f>
        <v/>
      </c>
      <c r="R50" s="45">
        <f>IF(B50="SELL",Q50*F50,0)</f>
        <v/>
      </c>
      <c r="S50" s="24">
        <f>S49+R50</f>
        <v/>
      </c>
    </row>
    <row r="51" ht="15.75" customHeight="1" s="94">
      <c r="A51" s="46" t="n">
        <v>50</v>
      </c>
      <c r="B51" s="47" t="inlineStr">
        <is>
          <t>SELL</t>
        </is>
      </c>
      <c r="C51" s="48" t="n">
        <v>46090</v>
      </c>
      <c r="D51" s="49" t="n">
        <v>10000</v>
      </c>
      <c r="E51" s="50" t="n">
        <v>917.9</v>
      </c>
      <c r="F51" s="50" t="n">
        <v>917.9</v>
      </c>
      <c r="G51" s="51" t="n">
        <v>-10.27</v>
      </c>
      <c r="H51" s="51" t="n">
        <v>-0.06</v>
      </c>
      <c r="I51" s="30" t="n">
        <v>1808.24</v>
      </c>
      <c r="J51" s="51" t="n">
        <v>605.12</v>
      </c>
      <c r="K51" s="52">
        <f>IF(AND(B51="SELL",E51&gt;0,J51&lt;&gt;""),J51/E51,0)</f>
        <v/>
      </c>
      <c r="L51" s="52" t="n">
        <v>0.622</v>
      </c>
      <c r="M51" s="50">
        <f>IF(AND(B51="SELL",L51&gt;0),D51*L51,0)</f>
        <v/>
      </c>
      <c r="N51" s="46" t="n"/>
      <c r="O51" s="53">
        <f>IF(AND(B51="SELL",G51&lt;&gt;0),Q51/ABS(G51),0)</f>
        <v/>
      </c>
      <c r="P51" s="53">
        <f>IF(AND(B51="SELL",D51&gt;0),R51/D51,0)</f>
        <v/>
      </c>
      <c r="Q51" s="54">
        <f>IF(AND(B51="SELL",D51&gt;0,E51&gt;0),(D51/E51)+G51,0)</f>
        <v/>
      </c>
      <c r="R51" s="55">
        <f>IF(B51="SELL",Q51*F51,0)</f>
        <v/>
      </c>
      <c r="S51" s="35">
        <f>S50+R51</f>
        <v/>
      </c>
    </row>
    <row r="52" ht="15.75" customHeight="1" s="94">
      <c r="A52" s="36" t="n">
        <v>51</v>
      </c>
      <c r="B52" s="37" t="inlineStr">
        <is>
          <t>SELL</t>
        </is>
      </c>
      <c r="C52" s="38" t="n">
        <v>46090</v>
      </c>
      <c r="D52" s="39" t="n">
        <v>30000</v>
      </c>
      <c r="E52" s="40" t="n">
        <v>917.9</v>
      </c>
      <c r="F52" s="40" t="n">
        <v>917.9</v>
      </c>
      <c r="G52" s="41" t="n">
        <v>-30.52</v>
      </c>
      <c r="H52" s="41" t="n">
        <v>-0.06</v>
      </c>
      <c r="I52" s="19" t="n">
        <v>1777.66</v>
      </c>
      <c r="J52" s="41" t="n">
        <v>611.3</v>
      </c>
      <c r="K52" s="42">
        <f>IF(AND(B52="SELL",E52&gt;0,J52&lt;&gt;""),J52/E52,0)</f>
        <v/>
      </c>
      <c r="L52" s="42" t="n">
        <v>0.622</v>
      </c>
      <c r="M52" s="40">
        <f>IF(AND(B52="SELL",L52&gt;0),D52*L52,0)</f>
        <v/>
      </c>
      <c r="N52" s="36" t="n"/>
      <c r="O52" s="43">
        <f>IF(AND(B52="SELL",G52&lt;&gt;0),Q52/ABS(G52),0)</f>
        <v/>
      </c>
      <c r="P52" s="43">
        <f>IF(AND(B52="SELL",D52&gt;0),R52/D52,0)</f>
        <v/>
      </c>
      <c r="Q52" s="44">
        <f>IF(AND(B52="SELL",D52&gt;0,E52&gt;0),(D52/E52)+G52,0)</f>
        <v/>
      </c>
      <c r="R52" s="45">
        <f>IF(B52="SELL",Q52*F52,0)</f>
        <v/>
      </c>
      <c r="S52" s="24">
        <f>S51+R52</f>
        <v/>
      </c>
    </row>
    <row r="53" ht="15.75" customHeight="1" s="94">
      <c r="A53" s="46" t="n">
        <v>52</v>
      </c>
      <c r="B53" s="47" t="inlineStr">
        <is>
          <t>SELL</t>
        </is>
      </c>
      <c r="C53" s="48" t="n">
        <v>46090</v>
      </c>
      <c r="D53" s="49" t="n">
        <v>50000</v>
      </c>
      <c r="E53" s="50" t="n">
        <v>917.9</v>
      </c>
      <c r="F53" s="50" t="n">
        <v>917.9</v>
      </c>
      <c r="G53" s="51" t="n">
        <v>-50.46</v>
      </c>
      <c r="H53" s="51" t="n">
        <v>-0.06</v>
      </c>
      <c r="I53" s="30" t="n">
        <v>1727.14</v>
      </c>
      <c r="J53" s="51" t="n">
        <v>617.3200000000001</v>
      </c>
      <c r="K53" s="52">
        <f>IF(AND(B53="SELL",E53&gt;0,J53&lt;&gt;""),J53/E53,0)</f>
        <v/>
      </c>
      <c r="L53" s="52" t="n">
        <v>0.623</v>
      </c>
      <c r="M53" s="50">
        <f>IF(AND(B53="SELL",L53&gt;0),D53*L53,0)</f>
        <v/>
      </c>
      <c r="N53" s="46" t="n"/>
      <c r="O53" s="53">
        <f>IF(AND(B53="SELL",G53&lt;&gt;0),Q53/ABS(G53),0)</f>
        <v/>
      </c>
      <c r="P53" s="53">
        <f>IF(AND(B53="SELL",D53&gt;0),R53/D53,0)</f>
        <v/>
      </c>
      <c r="Q53" s="54">
        <f>IF(AND(B53="SELL",D53&gt;0,E53&gt;0),(D53/E53)+G53,0)</f>
        <v/>
      </c>
      <c r="R53" s="55">
        <f>IF(B53="SELL",Q53*F53,0)</f>
        <v/>
      </c>
      <c r="S53" s="35">
        <f>S52+R53</f>
        <v/>
      </c>
    </row>
    <row r="54" ht="15.75" customHeight="1" s="94">
      <c r="A54" s="36" t="n">
        <v>53</v>
      </c>
      <c r="B54" s="37" t="inlineStr">
        <is>
          <t>SELL</t>
        </is>
      </c>
      <c r="C54" s="38" t="n">
        <v>46090</v>
      </c>
      <c r="D54" s="39" t="n">
        <v>10000</v>
      </c>
      <c r="E54" s="40" t="n">
        <v>917.9</v>
      </c>
      <c r="F54" s="40" t="n">
        <v>917.9</v>
      </c>
      <c r="G54" s="41" t="n">
        <v>-10.12</v>
      </c>
      <c r="H54" s="41" t="n">
        <v>-0.06</v>
      </c>
      <c r="I54" s="19" t="n">
        <v>1716.96</v>
      </c>
      <c r="J54" s="41" t="n">
        <v>614.105</v>
      </c>
      <c r="K54" s="42">
        <f>IF(AND(B54="SELL",E54&gt;0,J54&lt;&gt;""),J54/E54,0)</f>
        <v/>
      </c>
      <c r="L54" s="42" t="n">
        <v>0.622</v>
      </c>
      <c r="M54" s="40">
        <f>IF(AND(B54="SELL",L54&gt;0),D54*L54,0)</f>
        <v/>
      </c>
      <c r="N54" s="36" t="n"/>
      <c r="O54" s="43">
        <f>IF(AND(B54="SELL",G54&lt;&gt;0),Q54/ABS(G54),0)</f>
        <v/>
      </c>
      <c r="P54" s="43">
        <f>IF(AND(B54="SELL",D54&gt;0),R54/D54,0)</f>
        <v/>
      </c>
      <c r="Q54" s="44">
        <f>IF(AND(B54="SELL",D54&gt;0,E54&gt;0),(D54/E54)+G54,0)</f>
        <v/>
      </c>
      <c r="R54" s="45">
        <f>IF(B54="SELL",Q54*F54,0)</f>
        <v/>
      </c>
      <c r="S54" s="24">
        <f>S53+R54</f>
        <v/>
      </c>
    </row>
    <row r="55" ht="15.75" customHeight="1" s="94">
      <c r="A55" s="46" t="n">
        <v>54</v>
      </c>
      <c r="B55" s="47" t="inlineStr">
        <is>
          <t>SELL</t>
        </is>
      </c>
      <c r="C55" s="48" t="n">
        <v>46091</v>
      </c>
      <c r="D55" s="49" t="n">
        <v>40000</v>
      </c>
      <c r="E55" s="50" t="n">
        <v>917.9</v>
      </c>
      <c r="F55" s="50" t="n">
        <v>917.9</v>
      </c>
      <c r="G55" s="51" t="n">
        <v>-41.13</v>
      </c>
      <c r="H55" s="51" t="n">
        <v>-0.06</v>
      </c>
      <c r="I55" s="30" t="n">
        <v>1675.77</v>
      </c>
      <c r="J55" s="51" t="n">
        <v>610.6</v>
      </c>
      <c r="K55" s="52">
        <f>IF(AND(B55="SELL",E55&gt;0,J55&lt;&gt;""),J55/E55,0)</f>
        <v/>
      </c>
      <c r="L55" s="52" t="n">
        <v>0.628</v>
      </c>
      <c r="M55" s="50">
        <f>IF(AND(B55="SELL",L55&gt;0),D55*L55,0)</f>
        <v/>
      </c>
      <c r="N55" s="46" t="n"/>
      <c r="O55" s="53">
        <f>IF(AND(B55="SELL",G55&lt;&gt;0),Q55/ABS(G55),0)</f>
        <v/>
      </c>
      <c r="P55" s="53">
        <f>IF(AND(B55="SELL",D55&gt;0),R55/D55,0)</f>
        <v/>
      </c>
      <c r="Q55" s="54">
        <f>IF(AND(B55="SELL",D55&gt;0,E55&gt;0),(D55/E55)+G55,0)</f>
        <v/>
      </c>
      <c r="R55" s="55">
        <f>IF(B55="SELL",Q55*F55,0)</f>
        <v/>
      </c>
      <c r="S55" s="35">
        <f>S54+R55</f>
        <v/>
      </c>
    </row>
    <row r="56" ht="15.75" customHeight="1" s="94">
      <c r="A56" s="36" t="n">
        <v>55</v>
      </c>
      <c r="B56" s="37" t="inlineStr">
        <is>
          <t>SELL</t>
        </is>
      </c>
      <c r="C56" s="38" t="n">
        <v>46091</v>
      </c>
      <c r="D56" s="39" t="n">
        <v>50000</v>
      </c>
      <c r="E56" s="40" t="n">
        <v>917.9</v>
      </c>
      <c r="F56" s="40" t="n">
        <v>917.9</v>
      </c>
      <c r="G56" s="41" t="n">
        <v>-51.16</v>
      </c>
      <c r="H56" s="41" t="n">
        <v>-0.06</v>
      </c>
      <c r="I56" s="19" t="n">
        <v>1624.55</v>
      </c>
      <c r="J56" s="41" t="n">
        <v>613.72</v>
      </c>
      <c r="K56" s="42">
        <f>IF(AND(B56="SELL",E56&gt;0,J56&lt;&gt;""),J56/E56,0)</f>
        <v/>
      </c>
      <c r="L56" s="42" t="n">
        <v>0.628</v>
      </c>
      <c r="M56" s="40">
        <f>IF(AND(B56="SELL",L56&gt;0),D56*L56,0)</f>
        <v/>
      </c>
      <c r="N56" s="36" t="n"/>
      <c r="O56" s="43">
        <f>IF(AND(B56="SELL",G56&lt;&gt;0),Q56/ABS(G56),0)</f>
        <v/>
      </c>
      <c r="P56" s="43">
        <f>IF(AND(B56="SELL",D56&gt;0),R56/D56,0)</f>
        <v/>
      </c>
      <c r="Q56" s="44">
        <f>IF(AND(B56="SELL",D56&gt;0,E56&gt;0),(D56/E56)+G56,0)</f>
        <v/>
      </c>
      <c r="R56" s="45">
        <f>IF(B56="SELL",Q56*F56,0)</f>
        <v/>
      </c>
      <c r="S56" s="24">
        <f>S55+R56</f>
        <v/>
      </c>
    </row>
    <row r="57" ht="15.75" customHeight="1" s="94">
      <c r="A57" s="46" t="n">
        <v>56</v>
      </c>
      <c r="B57" s="47" t="inlineStr">
        <is>
          <t>SELL</t>
        </is>
      </c>
      <c r="C57" s="48" t="n">
        <v>46091</v>
      </c>
      <c r="D57" s="49" t="n">
        <v>78000</v>
      </c>
      <c r="E57" s="50" t="n">
        <v>917.9</v>
      </c>
      <c r="F57" s="50" t="n">
        <v>917.9</v>
      </c>
      <c r="G57" s="51" t="n">
        <v>-79.7</v>
      </c>
      <c r="H57" s="51" t="n">
        <v>-0.06</v>
      </c>
      <c r="I57" s="30" t="n">
        <v>1544.79</v>
      </c>
      <c r="J57" s="51" t="n">
        <v>614.55</v>
      </c>
      <c r="K57" s="52">
        <f>IF(AND(B57="SELL",E57&gt;0,J57&lt;&gt;""),J57/E57,0)</f>
        <v/>
      </c>
      <c r="L57" s="52" t="n">
        <v>0.628</v>
      </c>
      <c r="M57" s="50">
        <f>IF(AND(B57="SELL",L57&gt;0),D57*L57,0)</f>
        <v/>
      </c>
      <c r="N57" s="46" t="n"/>
      <c r="O57" s="53">
        <f>IF(AND(B57="SELL",G57&lt;&gt;0),Q57/ABS(G57),0)</f>
        <v/>
      </c>
      <c r="P57" s="53">
        <f>IF(AND(B57="SELL",D57&gt;0),R57/D57,0)</f>
        <v/>
      </c>
      <c r="Q57" s="54">
        <f>IF(AND(B57="SELL",D57&gt;0,E57&gt;0),(D57/E57)+G57,0)</f>
        <v/>
      </c>
      <c r="R57" s="55">
        <f>IF(B57="SELL",Q57*F57,0)</f>
        <v/>
      </c>
      <c r="S57" s="35">
        <f>S56+R57</f>
        <v/>
      </c>
    </row>
    <row r="58" ht="15.75" customHeight="1" s="94">
      <c r="A58" s="36" t="n">
        <v>57</v>
      </c>
      <c r="B58" s="37" t="inlineStr">
        <is>
          <t>SELL</t>
        </is>
      </c>
      <c r="C58" s="38" t="n">
        <v>46091</v>
      </c>
      <c r="D58" s="39" t="n">
        <v>10000</v>
      </c>
      <c r="E58" s="40" t="n">
        <v>917.9</v>
      </c>
      <c r="F58" s="40" t="n">
        <v>917.9</v>
      </c>
      <c r="G58" s="41" t="n">
        <v>-10.28</v>
      </c>
      <c r="H58" s="41" t="n">
        <v>-0.06</v>
      </c>
      <c r="I58" s="19" t="n">
        <v>1534.45</v>
      </c>
      <c r="J58" s="41" t="n">
        <v>610.505</v>
      </c>
      <c r="K58" s="42">
        <f>IF(AND(B58="SELL",E58&gt;0,J58&lt;&gt;""),J58/E58,0)</f>
        <v/>
      </c>
      <c r="L58" s="42" t="n">
        <v>0.628</v>
      </c>
      <c r="M58" s="40">
        <f>IF(AND(B58="SELL",L58&gt;0),D58*L58,0)</f>
        <v/>
      </c>
      <c r="N58" s="36" t="n"/>
      <c r="O58" s="43">
        <f>IF(AND(B58="SELL",G58&lt;&gt;0),Q58/ABS(G58),0)</f>
        <v/>
      </c>
      <c r="P58" s="43">
        <f>IF(AND(B58="SELL",D58&gt;0),R58/D58,0)</f>
        <v/>
      </c>
      <c r="Q58" s="44">
        <f>IF(AND(B58="SELL",D58&gt;0,E58&gt;0),(D58/E58)+G58,0)</f>
        <v/>
      </c>
      <c r="R58" s="45">
        <f>IF(B58="SELL",Q58*F58,0)</f>
        <v/>
      </c>
      <c r="S58" s="24">
        <f>S57+R58</f>
        <v/>
      </c>
    </row>
    <row r="59" ht="15.75" customHeight="1" s="94">
      <c r="A59" s="46" t="n">
        <v>58</v>
      </c>
      <c r="B59" s="47" t="inlineStr">
        <is>
          <t>SELL</t>
        </is>
      </c>
      <c r="C59" s="48" t="n">
        <v>46091</v>
      </c>
      <c r="D59" s="49" t="n">
        <v>10000</v>
      </c>
      <c r="E59" s="50" t="n">
        <v>917.9</v>
      </c>
      <c r="F59" s="50" t="n">
        <v>917.9</v>
      </c>
      <c r="G59" s="51" t="n">
        <v>-10.24</v>
      </c>
      <c r="H59" s="51" t="n">
        <v>-0.06</v>
      </c>
      <c r="I59" s="30" t="n">
        <v>1524.15</v>
      </c>
      <c r="J59" s="51" t="n">
        <v>612.801</v>
      </c>
      <c r="K59" s="52">
        <f>IF(AND(B59="SELL",E59&gt;0,J59&lt;&gt;""),J59/E59,0)</f>
        <v/>
      </c>
      <c r="L59" s="52" t="n">
        <v>0.628</v>
      </c>
      <c r="M59" s="50">
        <f>IF(AND(B59="SELL",L59&gt;0),D59*L59,0)</f>
        <v/>
      </c>
      <c r="N59" s="46" t="n"/>
      <c r="O59" s="53">
        <f>IF(AND(B59="SELL",G59&lt;&gt;0),Q59/ABS(G59),0)</f>
        <v/>
      </c>
      <c r="P59" s="53">
        <f>IF(AND(B59="SELL",D59&gt;0),R59/D59,0)</f>
        <v/>
      </c>
      <c r="Q59" s="54">
        <f>IF(AND(B59="SELL",D59&gt;0,E59&gt;0),(D59/E59)+G59,0)</f>
        <v/>
      </c>
      <c r="R59" s="55">
        <f>IF(B59="SELL",Q59*F59,0)</f>
        <v/>
      </c>
      <c r="S59" s="35">
        <f>S58+R59</f>
        <v/>
      </c>
    </row>
    <row r="60" ht="15.75" customHeight="1" s="94">
      <c r="A60" s="36" t="n">
        <v>59</v>
      </c>
      <c r="B60" s="37" t="inlineStr">
        <is>
          <t>SELL</t>
        </is>
      </c>
      <c r="C60" s="38" t="n">
        <v>46091</v>
      </c>
      <c r="D60" s="39" t="n">
        <v>35000</v>
      </c>
      <c r="E60" s="40" t="n">
        <v>917.9</v>
      </c>
      <c r="F60" s="40" t="n">
        <v>917.9</v>
      </c>
      <c r="G60" s="41" t="n">
        <v>-35.89</v>
      </c>
      <c r="H60" s="41" t="n">
        <v>-0.06</v>
      </c>
      <c r="I60" s="19" t="n">
        <v>1488.2</v>
      </c>
      <c r="J60" s="41" t="n">
        <v>612.331</v>
      </c>
      <c r="K60" s="42">
        <f>IF(AND(B60="SELL",E60&gt;0,J60&lt;&gt;""),J60/E60,0)</f>
        <v/>
      </c>
      <c r="L60" s="42" t="n">
        <v>0.628</v>
      </c>
      <c r="M60" s="40">
        <f>IF(AND(B60="SELL",L60&gt;0),D60*L60,0)</f>
        <v/>
      </c>
      <c r="N60" s="36" t="n"/>
      <c r="O60" s="43">
        <f>IF(AND(B60="SELL",G60&lt;&gt;0),Q60/ABS(G60),0)</f>
        <v/>
      </c>
      <c r="P60" s="43">
        <f>IF(AND(B60="SELL",D60&gt;0),R60/D60,0)</f>
        <v/>
      </c>
      <c r="Q60" s="44">
        <f>IF(AND(B60="SELL",D60&gt;0,E60&gt;0),(D60/E60)+G60,0)</f>
        <v/>
      </c>
      <c r="R60" s="45">
        <f>IF(B60="SELL",Q60*F60,0)</f>
        <v/>
      </c>
      <c r="S60" s="24">
        <f>S59+R60</f>
        <v/>
      </c>
    </row>
    <row r="61" ht="15.75" customHeight="1" s="94">
      <c r="A61" s="46" t="n">
        <v>60</v>
      </c>
      <c r="B61" s="47" t="inlineStr">
        <is>
          <t>SELL</t>
        </is>
      </c>
      <c r="C61" s="48" t="n">
        <v>46091</v>
      </c>
      <c r="D61" s="49" t="n">
        <v>10000</v>
      </c>
      <c r="E61" s="50" t="n">
        <v>917.9</v>
      </c>
      <c r="F61" s="50" t="n">
        <v>917.9</v>
      </c>
      <c r="G61" s="51" t="n">
        <v>-10.19</v>
      </c>
      <c r="H61" s="51" t="n">
        <v>-0.06</v>
      </c>
      <c r="I61" s="30" t="n">
        <v>1477.95</v>
      </c>
      <c r="J61" s="51" t="n">
        <v>616.1</v>
      </c>
      <c r="K61" s="52">
        <f>IF(AND(B61="SELL",E61&gt;0,J61&lt;&gt;""),J61/E61,0)</f>
        <v/>
      </c>
      <c r="L61" s="52" t="n">
        <v>0.628</v>
      </c>
      <c r="M61" s="50">
        <f>IF(AND(B61="SELL",L61&gt;0),D61*L61,0)</f>
        <v/>
      </c>
      <c r="N61" s="46" t="n"/>
      <c r="O61" s="53">
        <f>IF(AND(B61="SELL",G61&lt;&gt;0),Q61/ABS(G61),0)</f>
        <v/>
      </c>
      <c r="P61" s="53">
        <f>IF(AND(B61="SELL",D61&gt;0),R61/D61,0)</f>
        <v/>
      </c>
      <c r="Q61" s="54">
        <f>IF(AND(B61="SELL",D61&gt;0,E61&gt;0),(D61/E61)+G61,0)</f>
        <v/>
      </c>
      <c r="R61" s="55">
        <f>IF(B61="SELL",Q61*F61,0)</f>
        <v/>
      </c>
      <c r="S61" s="35">
        <f>S60+R61</f>
        <v/>
      </c>
    </row>
    <row r="62" ht="15.75" customHeight="1" s="94">
      <c r="A62" s="36" t="n">
        <v>61</v>
      </c>
      <c r="B62" s="37" t="inlineStr">
        <is>
          <t>SELL</t>
        </is>
      </c>
      <c r="C62" s="38" t="n">
        <v>46091</v>
      </c>
      <c r="D62" s="39" t="n">
        <v>30000</v>
      </c>
      <c r="E62" s="40" t="n">
        <v>917.9</v>
      </c>
      <c r="F62" s="40" t="n">
        <v>917.9</v>
      </c>
      <c r="G62" s="41" t="n">
        <v>-30.63</v>
      </c>
      <c r="H62" s="41" t="n">
        <v>-0.06</v>
      </c>
      <c r="I62" s="19" t="n">
        <v>1447.26</v>
      </c>
      <c r="J62" s="41" t="n">
        <v>615</v>
      </c>
      <c r="K62" s="42">
        <f>IF(AND(B62="SELL",E62&gt;0,J62&lt;&gt;""),J62/E62,0)</f>
        <v/>
      </c>
      <c r="L62" s="42" t="n">
        <v>0.628</v>
      </c>
      <c r="M62" s="40">
        <f>IF(AND(B62="SELL",L62&gt;0),D62*L62,0)</f>
        <v/>
      </c>
      <c r="N62" s="36" t="n"/>
      <c r="O62" s="43">
        <f>IF(AND(B62="SELL",G62&lt;&gt;0),Q62/ABS(G62),0)</f>
        <v/>
      </c>
      <c r="P62" s="43">
        <f>IF(AND(B62="SELL",D62&gt;0),R62/D62,0)</f>
        <v/>
      </c>
      <c r="Q62" s="44">
        <f>IF(AND(B62="SELL",D62&gt;0,E62&gt;0),(D62/E62)+G62,0)</f>
        <v/>
      </c>
      <c r="R62" s="45">
        <f>IF(B62="SELL",Q62*F62,0)</f>
        <v/>
      </c>
      <c r="S62" s="24">
        <f>S61+R62</f>
        <v/>
      </c>
    </row>
    <row r="63" ht="15.75" customHeight="1" s="94">
      <c r="A63" s="46" t="n">
        <v>62</v>
      </c>
      <c r="B63" s="47" t="inlineStr">
        <is>
          <t>SELL</t>
        </is>
      </c>
      <c r="C63" s="48" t="n">
        <v>46092</v>
      </c>
      <c r="D63" s="49" t="n">
        <v>50000</v>
      </c>
      <c r="E63" s="50" t="n">
        <v>917.9</v>
      </c>
      <c r="F63" s="50" t="n">
        <v>917.9</v>
      </c>
      <c r="G63" s="51" t="n">
        <v>-50.38</v>
      </c>
      <c r="H63" s="51" t="n">
        <v>-0.06</v>
      </c>
      <c r="I63" s="30" t="n">
        <v>1396.82</v>
      </c>
      <c r="J63" s="51" t="n">
        <v>623.26</v>
      </c>
      <c r="K63" s="52">
        <f>IF(AND(B63="SELL",E63&gt;0,J63&lt;&gt;""),J63/E63,0)</f>
        <v/>
      </c>
      <c r="L63" s="52" t="n">
        <v>0.628</v>
      </c>
      <c r="M63" s="50">
        <f>IF(AND(B63="SELL",L63&gt;0),D63*L63,0)</f>
        <v/>
      </c>
      <c r="N63" s="46" t="n"/>
      <c r="O63" s="53">
        <f>IF(AND(B63="SELL",G63&lt;&gt;0),Q63/ABS(G63),0)</f>
        <v/>
      </c>
      <c r="P63" s="53">
        <f>IF(AND(B63="SELL",D63&gt;0),R63/D63,0)</f>
        <v/>
      </c>
      <c r="Q63" s="54">
        <f>IF(AND(B63="SELL",D63&gt;0,E63&gt;0),(D63/E63)+G63,0)</f>
        <v/>
      </c>
      <c r="R63" s="55">
        <f>IF(B63="SELL",Q63*F63,0)</f>
        <v/>
      </c>
      <c r="S63" s="35">
        <f>S62+R63</f>
        <v/>
      </c>
    </row>
    <row r="64" ht="15.75" customHeight="1" s="94">
      <c r="A64" s="36" t="n">
        <v>63</v>
      </c>
      <c r="B64" s="37" t="inlineStr">
        <is>
          <t>SELL</t>
        </is>
      </c>
      <c r="C64" s="38" t="n">
        <v>46092</v>
      </c>
      <c r="D64" s="39" t="n">
        <v>45000</v>
      </c>
      <c r="E64" s="40" t="n">
        <v>917.9</v>
      </c>
      <c r="F64" s="40" t="n">
        <v>917.9</v>
      </c>
      <c r="G64" s="41" t="n">
        <v>-45.58</v>
      </c>
      <c r="H64" s="41" t="n">
        <v>-0.06</v>
      </c>
      <c r="I64" s="19" t="n">
        <v>1351.18</v>
      </c>
      <c r="J64" s="41" t="n">
        <v>627.811</v>
      </c>
      <c r="K64" s="42">
        <f>IF(AND(B64="SELL",E64&gt;0,J64&lt;&gt;""),J64/E64,0)</f>
        <v/>
      </c>
      <c r="L64" s="42" t="n">
        <v>0.636</v>
      </c>
      <c r="M64" s="40">
        <f>IF(AND(B64="SELL",L64&gt;0),D64*L64,0)</f>
        <v/>
      </c>
      <c r="N64" s="36" t="n"/>
      <c r="O64" s="43">
        <f>IF(AND(B64="SELL",G64&lt;&gt;0),Q64/ABS(G64),0)</f>
        <v/>
      </c>
      <c r="P64" s="43">
        <f>IF(AND(B64="SELL",D64&gt;0),R64/D64,0)</f>
        <v/>
      </c>
      <c r="Q64" s="44">
        <f>IF(AND(B64="SELL",D64&gt;0,E64&gt;0),(D64/E64)+G64,0)</f>
        <v/>
      </c>
      <c r="R64" s="45">
        <f>IF(B64="SELL",Q64*F64,0)</f>
        <v/>
      </c>
      <c r="S64" s="24">
        <f>S63+R64</f>
        <v/>
      </c>
    </row>
    <row r="65" ht="15.75" customHeight="1" s="94">
      <c r="A65" s="46" t="n">
        <v>64</v>
      </c>
      <c r="B65" s="47" t="inlineStr">
        <is>
          <t>SELL</t>
        </is>
      </c>
      <c r="C65" s="48" t="n">
        <v>46092</v>
      </c>
      <c r="D65" s="49" t="n">
        <v>50000</v>
      </c>
      <c r="E65" s="50" t="n">
        <v>917.9</v>
      </c>
      <c r="F65" s="50" t="n">
        <v>917.9</v>
      </c>
      <c r="G65" s="51" t="n">
        <v>-50.81</v>
      </c>
      <c r="H65" s="51" t="n">
        <v>-0.06</v>
      </c>
      <c r="I65" s="30" t="n">
        <v>1300.31</v>
      </c>
      <c r="J65" s="51" t="n">
        <v>625.8</v>
      </c>
      <c r="K65" s="52">
        <f>IF(AND(B65="SELL",E65&gt;0,J65&lt;&gt;""),J65/E65,0)</f>
        <v/>
      </c>
      <c r="L65" s="52" t="n">
        <v>0.636</v>
      </c>
      <c r="M65" s="50">
        <f>IF(AND(B65="SELL",L65&gt;0),D65*L65,0)</f>
        <v/>
      </c>
      <c r="N65" s="46" t="n"/>
      <c r="O65" s="53">
        <f>IF(AND(B65="SELL",G65&lt;&gt;0),Q65/ABS(G65),0)</f>
        <v/>
      </c>
      <c r="P65" s="53">
        <f>IF(AND(B65="SELL",D65&gt;0),R65/D65,0)</f>
        <v/>
      </c>
      <c r="Q65" s="54">
        <f>IF(AND(B65="SELL",D65&gt;0,E65&gt;0),(D65/E65)+G65,0)</f>
        <v/>
      </c>
      <c r="R65" s="55">
        <f>IF(B65="SELL",Q65*F65,0)</f>
        <v/>
      </c>
      <c r="S65" s="35">
        <f>S64+R65</f>
        <v/>
      </c>
    </row>
    <row r="66" ht="15.75" customHeight="1" s="94">
      <c r="A66" s="36" t="n">
        <v>65</v>
      </c>
      <c r="B66" s="37" t="inlineStr">
        <is>
          <t>SELL</t>
        </is>
      </c>
      <c r="C66" s="38" t="n">
        <v>46092</v>
      </c>
      <c r="D66" s="39" t="n">
        <v>10000</v>
      </c>
      <c r="E66" s="40" t="n">
        <v>917.9</v>
      </c>
      <c r="F66" s="40" t="n">
        <v>917.9</v>
      </c>
      <c r="G66" s="41" t="n">
        <v>-10.24</v>
      </c>
      <c r="H66" s="41" t="n">
        <v>-0.06</v>
      </c>
      <c r="I66" s="19" t="n">
        <v>1290.01</v>
      </c>
      <c r="J66" s="41" t="n">
        <v>621.001</v>
      </c>
      <c r="K66" s="42">
        <f>IF(AND(B66="SELL",E66&gt;0,J66&lt;&gt;""),J66/E66,0)</f>
        <v/>
      </c>
      <c r="L66" s="42" t="n">
        <v>0.636</v>
      </c>
      <c r="M66" s="40">
        <f>IF(AND(B66="SELL",L66&gt;0),D66*L66,0)</f>
        <v/>
      </c>
      <c r="N66" s="36" t="n"/>
      <c r="O66" s="43">
        <f>IF(AND(B66="SELL",G66&lt;&gt;0),Q66/ABS(G66),0)</f>
        <v/>
      </c>
      <c r="P66" s="43">
        <f>IF(AND(B66="SELL",D66&gt;0),R66/D66,0)</f>
        <v/>
      </c>
      <c r="Q66" s="44">
        <f>IF(AND(B66="SELL",D66&gt;0,E66&gt;0),(D66/E66)+G66,0)</f>
        <v/>
      </c>
      <c r="R66" s="45">
        <f>IF(B66="SELL",Q66*F66,0)</f>
        <v/>
      </c>
      <c r="S66" s="24">
        <f>S65+R66</f>
        <v/>
      </c>
    </row>
    <row r="67" ht="15.75" customHeight="1" s="94">
      <c r="A67" s="46" t="n">
        <v>66</v>
      </c>
      <c r="B67" s="47" t="inlineStr">
        <is>
          <t>SELL</t>
        </is>
      </c>
      <c r="C67" s="48" t="n">
        <v>46092</v>
      </c>
      <c r="D67" s="49" t="n">
        <v>20000</v>
      </c>
      <c r="E67" s="50" t="n">
        <v>917.9</v>
      </c>
      <c r="F67" s="50" t="n">
        <v>917.9</v>
      </c>
      <c r="G67" s="51" t="n">
        <v>-20.38</v>
      </c>
      <c r="H67" s="51" t="n">
        <v>-0.06</v>
      </c>
      <c r="I67" s="30" t="n">
        <v>1269.57</v>
      </c>
      <c r="J67" s="51" t="n">
        <v>623.855</v>
      </c>
      <c r="K67" s="52">
        <f>IF(AND(B67="SELL",E67&gt;0,J67&lt;&gt;""),J67/E67,0)</f>
        <v/>
      </c>
      <c r="L67" s="52" t="n">
        <v>0.636</v>
      </c>
      <c r="M67" s="50">
        <f>IF(AND(B67="SELL",L67&gt;0),D67*L67,0)</f>
        <v/>
      </c>
      <c r="N67" s="46" t="n"/>
      <c r="O67" s="53">
        <f>IF(AND(B67="SELL",G67&lt;&gt;0),Q67/ABS(G67),0)</f>
        <v/>
      </c>
      <c r="P67" s="53">
        <f>IF(AND(B67="SELL",D67&gt;0),R67/D67,0)</f>
        <v/>
      </c>
      <c r="Q67" s="54">
        <f>IF(AND(B67="SELL",D67&gt;0,E67&gt;0),(D67/E67)+G67,0)</f>
        <v/>
      </c>
      <c r="R67" s="55">
        <f>IF(B67="SELL",Q67*F67,0)</f>
        <v/>
      </c>
      <c r="S67" s="35">
        <f>S66+R67</f>
        <v/>
      </c>
    </row>
    <row r="68" ht="15.75" customHeight="1" s="94">
      <c r="A68" s="36" t="n">
        <v>67</v>
      </c>
      <c r="B68" s="37" t="inlineStr">
        <is>
          <t>SELL</t>
        </is>
      </c>
      <c r="C68" s="38" t="n">
        <v>46092</v>
      </c>
      <c r="D68" s="39" t="n">
        <v>20000</v>
      </c>
      <c r="E68" s="40" t="n">
        <v>917.9</v>
      </c>
      <c r="F68" s="40" t="n">
        <v>917.9</v>
      </c>
      <c r="G68" s="41" t="n">
        <v>-20.35</v>
      </c>
      <c r="H68" s="41" t="n">
        <v>-0.06</v>
      </c>
      <c r="I68" s="19" t="n">
        <v>1249.16</v>
      </c>
      <c r="J68" s="41" t="n">
        <v>625</v>
      </c>
      <c r="K68" s="42">
        <f>IF(AND(B68="SELL",E68&gt;0,J68&lt;&gt;""),J68/E68,0)</f>
        <v/>
      </c>
      <c r="L68" s="42" t="n">
        <v>0.636</v>
      </c>
      <c r="M68" s="40">
        <f>IF(AND(B68="SELL",L68&gt;0),D68*L68,0)</f>
        <v/>
      </c>
      <c r="N68" s="36" t="n"/>
      <c r="O68" s="43">
        <f>IF(AND(B68="SELL",G68&lt;&gt;0),Q68/ABS(G68),0)</f>
        <v/>
      </c>
      <c r="P68" s="43">
        <f>IF(AND(B68="SELL",D68&gt;0),R68/D68,0)</f>
        <v/>
      </c>
      <c r="Q68" s="44">
        <f>IF(AND(B68="SELL",D68&gt;0,E68&gt;0),(D68/E68)+G68,0)</f>
        <v/>
      </c>
      <c r="R68" s="45">
        <f>IF(B68="SELL",Q68*F68,0)</f>
        <v/>
      </c>
      <c r="S68" s="24">
        <f>S67+R68</f>
        <v/>
      </c>
    </row>
    <row r="69" ht="15.75" customHeight="1" s="94">
      <c r="A69" s="46" t="n">
        <v>68</v>
      </c>
      <c r="B69" s="47" t="inlineStr">
        <is>
          <t>SELL</t>
        </is>
      </c>
      <c r="C69" s="48" t="n">
        <v>46093</v>
      </c>
      <c r="D69" s="49" t="n">
        <v>106000</v>
      </c>
      <c r="E69" s="50" t="n">
        <v>917.9</v>
      </c>
      <c r="F69" s="50" t="n">
        <v>917.9</v>
      </c>
      <c r="G69" s="51" t="n">
        <v>-109.59</v>
      </c>
      <c r="H69" s="51" t="n">
        <v>-0.06</v>
      </c>
      <c r="I69" s="30" t="n">
        <v>1139.51</v>
      </c>
      <c r="J69" s="51" t="n">
        <v>619</v>
      </c>
      <c r="K69" s="52">
        <f>IF(AND(B69="SELL",E69&gt;0,J69&lt;&gt;""),J69/E69,0)</f>
        <v/>
      </c>
      <c r="L69" s="52" t="n">
        <v>0.64</v>
      </c>
      <c r="M69" s="50">
        <f>IF(AND(B69="SELL",L69&gt;0),D69*L69,0)</f>
        <v/>
      </c>
      <c r="N69" s="46" t="n"/>
      <c r="O69" s="53">
        <f>IF(AND(B69="SELL",G69&lt;&gt;0),Q69/ABS(G69),0)</f>
        <v/>
      </c>
      <c r="P69" s="53">
        <f>IF(AND(B69="SELL",D69&gt;0),R69/D69,0)</f>
        <v/>
      </c>
      <c r="Q69" s="54">
        <f>IF(AND(B69="SELL",D69&gt;0,E69&gt;0),(D69/E69)+G69,0)</f>
        <v/>
      </c>
      <c r="R69" s="55">
        <f>IF(B69="SELL",Q69*F69,0)</f>
        <v/>
      </c>
      <c r="S69" s="35">
        <f>S68+R69</f>
        <v/>
      </c>
    </row>
    <row r="70" ht="15.75" customHeight="1" s="94">
      <c r="A70" s="36" t="n">
        <v>69</v>
      </c>
      <c r="B70" s="37" t="inlineStr">
        <is>
          <t>SELL</t>
        </is>
      </c>
      <c r="C70" s="38" t="n">
        <v>46093</v>
      </c>
      <c r="D70" s="39" t="n">
        <v>55000</v>
      </c>
      <c r="E70" s="40" t="n">
        <v>917.9</v>
      </c>
      <c r="F70" s="40" t="n">
        <v>917.9</v>
      </c>
      <c r="G70" s="41" t="n">
        <v>-56.8</v>
      </c>
      <c r="H70" s="41" t="n">
        <v>-0.06</v>
      </c>
      <c r="I70" s="19" t="n">
        <v>1082.65</v>
      </c>
      <c r="J70" s="41" t="n">
        <v>619.61</v>
      </c>
      <c r="K70" s="42">
        <f>IF(AND(B70="SELL",E70&gt;0,J70&lt;&gt;""),J70/E70,0)</f>
        <v/>
      </c>
      <c r="L70" s="42" t="n">
        <v>0.64</v>
      </c>
      <c r="M70" s="40">
        <f>IF(AND(B70="SELL",L70&gt;0),D70*L70,0)</f>
        <v/>
      </c>
      <c r="N70" s="36" t="n"/>
      <c r="O70" s="43">
        <f>IF(AND(B70="SELL",G70&lt;&gt;0),Q70/ABS(G70),0)</f>
        <v/>
      </c>
      <c r="P70" s="43">
        <f>IF(AND(B70="SELL",D70&gt;0),R70/D70,0)</f>
        <v/>
      </c>
      <c r="Q70" s="44">
        <f>IF(AND(B70="SELL",D70&gt;0,E70&gt;0),(D70/E70)+G70,0)</f>
        <v/>
      </c>
      <c r="R70" s="45">
        <f>IF(B70="SELL",Q70*F70,0)</f>
        <v/>
      </c>
      <c r="S70" s="24">
        <f>S69+R70</f>
        <v/>
      </c>
    </row>
    <row r="71" ht="15.75" customHeight="1" s="94">
      <c r="A71" s="46" t="n">
        <v>70</v>
      </c>
      <c r="B71" s="47" t="inlineStr">
        <is>
          <t>SELL</t>
        </is>
      </c>
      <c r="C71" s="48" t="n">
        <v>46093</v>
      </c>
      <c r="D71" s="49" t="n">
        <v>40000</v>
      </c>
      <c r="E71" s="50" t="n">
        <v>917.9</v>
      </c>
      <c r="F71" s="50" t="n">
        <v>917.9</v>
      </c>
      <c r="G71" s="51" t="n">
        <v>-41.15</v>
      </c>
      <c r="H71" s="51" t="n">
        <v>-0.06</v>
      </c>
      <c r="I71" s="30" t="n">
        <v>1041.44</v>
      </c>
      <c r="J71" s="51" t="n">
        <v>622.107</v>
      </c>
      <c r="K71" s="52">
        <f>IF(AND(B71="SELL",E71&gt;0,J71&lt;&gt;""),J71/E71,0)</f>
        <v/>
      </c>
      <c r="L71" s="52" t="n">
        <v>0.64</v>
      </c>
      <c r="M71" s="50">
        <f>IF(AND(B71="SELL",L71&gt;0),D71*L71,0)</f>
        <v/>
      </c>
      <c r="N71" s="46" t="n"/>
      <c r="O71" s="53">
        <f>IF(AND(B71="SELL",G71&lt;&gt;0),Q71/ABS(G71),0)</f>
        <v/>
      </c>
      <c r="P71" s="53">
        <f>IF(AND(B71="SELL",D71&gt;0),R71/D71,0)</f>
        <v/>
      </c>
      <c r="Q71" s="54">
        <f>IF(AND(B71="SELL",D71&gt;0,E71&gt;0),(D71/E71)+G71,0)</f>
        <v/>
      </c>
      <c r="R71" s="55">
        <f>IF(B71="SELL",Q71*F71,0)</f>
        <v/>
      </c>
      <c r="S71" s="35">
        <f>S70+R71</f>
        <v/>
      </c>
    </row>
    <row r="72" ht="15.75" customHeight="1" s="94">
      <c r="A72" s="36" t="n">
        <v>71</v>
      </c>
      <c r="B72" s="37" t="inlineStr">
        <is>
          <t>SELL</t>
        </is>
      </c>
      <c r="C72" s="38" t="n">
        <v>46093</v>
      </c>
      <c r="D72" s="39" t="n">
        <v>10000</v>
      </c>
      <c r="E72" s="40" t="n">
        <v>917.9</v>
      </c>
      <c r="F72" s="40" t="n">
        <v>917.9</v>
      </c>
      <c r="G72" s="41" t="n">
        <v>-10.3</v>
      </c>
      <c r="H72" s="41" t="n">
        <v>-0.06</v>
      </c>
      <c r="I72" s="19" t="n">
        <v>1031.08</v>
      </c>
      <c r="J72" s="41" t="n">
        <v>621.035</v>
      </c>
      <c r="K72" s="42">
        <f>IF(AND(B72="SELL",E72&gt;0,J72&lt;&gt;""),J72/E72,0)</f>
        <v/>
      </c>
      <c r="L72" s="42" t="n">
        <v>0.64</v>
      </c>
      <c r="M72" s="40">
        <f>IF(AND(B72="SELL",L72&gt;0),D72*L72,0)</f>
        <v/>
      </c>
      <c r="N72" s="36" t="n"/>
      <c r="O72" s="43">
        <f>IF(AND(B72="SELL",G72&lt;&gt;0),Q72/ABS(G72),0)</f>
        <v/>
      </c>
      <c r="P72" s="43">
        <f>IF(AND(B72="SELL",D72&gt;0),R72/D72,0)</f>
        <v/>
      </c>
      <c r="Q72" s="44">
        <f>IF(AND(B72="SELL",D72&gt;0,E72&gt;0),(D72/E72)+G72,0)</f>
        <v/>
      </c>
      <c r="R72" s="45">
        <f>IF(B72="SELL",Q72*F72,0)</f>
        <v/>
      </c>
      <c r="S72" s="24">
        <f>S71+R72</f>
        <v/>
      </c>
    </row>
    <row r="73" ht="15.75" customHeight="1" s="94">
      <c r="A73" s="46" t="n">
        <v>72</v>
      </c>
      <c r="B73" s="47" t="inlineStr">
        <is>
          <t>SELL</t>
        </is>
      </c>
      <c r="C73" s="48" t="n">
        <v>46093</v>
      </c>
      <c r="D73" s="49" t="n">
        <v>15000</v>
      </c>
      <c r="E73" s="50" t="n">
        <v>917.9</v>
      </c>
      <c r="F73" s="50" t="n">
        <v>917.9</v>
      </c>
      <c r="G73" s="51" t="n">
        <v>-15.41</v>
      </c>
      <c r="H73" s="51" t="n">
        <v>-0.06</v>
      </c>
      <c r="I73" s="30" t="n">
        <v>1015.61</v>
      </c>
      <c r="J73" s="51" t="n">
        <v>622.9</v>
      </c>
      <c r="K73" s="52">
        <f>IF(AND(B73="SELL",E73&gt;0,J73&lt;&gt;""),J73/E73,0)</f>
        <v/>
      </c>
      <c r="L73" s="52" t="n">
        <v>0.64</v>
      </c>
      <c r="M73" s="50">
        <f>IF(AND(B73="SELL",L73&gt;0),D73*L73,0)</f>
        <v/>
      </c>
      <c r="N73" s="46" t="n"/>
      <c r="O73" s="53">
        <f>IF(AND(B73="SELL",G73&lt;&gt;0),Q73/ABS(G73),0)</f>
        <v/>
      </c>
      <c r="P73" s="53">
        <f>IF(AND(B73="SELL",D73&gt;0),R73/D73,0)</f>
        <v/>
      </c>
      <c r="Q73" s="54">
        <f>IF(AND(B73="SELL",D73&gt;0,E73&gt;0),(D73/E73)+G73,0)</f>
        <v/>
      </c>
      <c r="R73" s="55">
        <f>IF(B73="SELL",Q73*F73,0)</f>
        <v/>
      </c>
      <c r="S73" s="35">
        <f>S72+R73</f>
        <v/>
      </c>
    </row>
    <row r="74" ht="15.75" customHeight="1" s="94">
      <c r="A74" s="36" t="n">
        <v>73</v>
      </c>
      <c r="B74" s="37" t="inlineStr">
        <is>
          <t>SELL</t>
        </is>
      </c>
      <c r="C74" s="38" t="n">
        <v>46094</v>
      </c>
      <c r="D74" s="39" t="n">
        <v>198000</v>
      </c>
      <c r="E74" s="40" t="n">
        <v>917.9</v>
      </c>
      <c r="F74" s="40" t="n">
        <v>917.9</v>
      </c>
      <c r="G74" s="41" t="n">
        <v>-202.52</v>
      </c>
      <c r="H74" s="41" t="n">
        <v>-0.06</v>
      </c>
      <c r="I74" s="19" t="n">
        <v>813.03</v>
      </c>
      <c r="J74" s="41" t="n">
        <v>622.761</v>
      </c>
      <c r="K74" s="42">
        <f>IF(AND(B74="SELL",E74&gt;0,J74&lt;&gt;""),J74/E74,0)</f>
        <v/>
      </c>
      <c r="L74" s="42" t="n">
        <v>0.637</v>
      </c>
      <c r="M74" s="40">
        <f>IF(AND(B74="SELL",L74&gt;0),D74*L74,0)</f>
        <v/>
      </c>
      <c r="N74" s="36" t="n"/>
      <c r="O74" s="43">
        <f>IF(AND(B74="SELL",G74&lt;&gt;0),Q74/ABS(G74),0)</f>
        <v/>
      </c>
      <c r="P74" s="43">
        <f>IF(AND(B74="SELL",D74&gt;0),R74/D74,0)</f>
        <v/>
      </c>
      <c r="Q74" s="44">
        <f>IF(AND(B74="SELL",D74&gt;0,E74&gt;0),(D74/E74)+G74,0)</f>
        <v/>
      </c>
      <c r="R74" s="45">
        <f>IF(B74="SELL",Q74*F74,0)</f>
        <v/>
      </c>
      <c r="S74" s="24">
        <f>S73+R74</f>
        <v/>
      </c>
    </row>
    <row r="75" ht="15.75" customHeight="1" s="94">
      <c r="A75" s="46" t="n">
        <v>74</v>
      </c>
      <c r="B75" s="47" t="inlineStr">
        <is>
          <t>SELL</t>
        </is>
      </c>
      <c r="C75" s="48" t="n">
        <v>46094</v>
      </c>
      <c r="D75" s="49" t="n">
        <v>30000</v>
      </c>
      <c r="E75" s="50" t="n">
        <v>917.9</v>
      </c>
      <c r="F75" s="50" t="n">
        <v>917.9</v>
      </c>
      <c r="G75" s="51" t="n">
        <v>-30.91</v>
      </c>
      <c r="H75" s="51" t="n">
        <v>-0.06</v>
      </c>
      <c r="I75" s="30" t="n">
        <v>782.0599999999999</v>
      </c>
      <c r="J75" s="51" t="n">
        <v>618.2</v>
      </c>
      <c r="K75" s="52">
        <f>IF(AND(B75="SELL",E75&gt;0,J75&lt;&gt;""),J75/E75,0)</f>
        <v/>
      </c>
      <c r="L75" s="52" t="n">
        <v>0.637</v>
      </c>
      <c r="M75" s="50">
        <f>IF(AND(B75="SELL",L75&gt;0),D75*L75,0)</f>
        <v/>
      </c>
      <c r="N75" s="46" t="n"/>
      <c r="O75" s="53">
        <f>IF(AND(B75="SELL",G75&lt;&gt;0),Q75/ABS(G75),0)</f>
        <v/>
      </c>
      <c r="P75" s="53">
        <f>IF(AND(B75="SELL",D75&gt;0),R75/D75,0)</f>
        <v/>
      </c>
      <c r="Q75" s="54">
        <f>IF(AND(B75="SELL",D75&gt;0,E75&gt;0),(D75/E75)+G75,0)</f>
        <v/>
      </c>
      <c r="R75" s="55">
        <f>IF(B75="SELL",Q75*F75,0)</f>
        <v/>
      </c>
      <c r="S75" s="35">
        <f>S74+R75</f>
        <v/>
      </c>
    </row>
    <row r="76" ht="15.75" customHeight="1" s="94">
      <c r="A76" s="36" t="n">
        <v>75</v>
      </c>
      <c r="B76" s="37" t="inlineStr">
        <is>
          <t>SELL</t>
        </is>
      </c>
      <c r="C76" s="38" t="n">
        <v>46094</v>
      </c>
      <c r="D76" s="39" t="n">
        <v>50000</v>
      </c>
      <c r="E76" s="40" t="n">
        <v>917.9</v>
      </c>
      <c r="F76" s="40" t="n">
        <v>917.9</v>
      </c>
      <c r="G76" s="41" t="n">
        <v>-51.31</v>
      </c>
      <c r="H76" s="41" t="n">
        <v>-0.06</v>
      </c>
      <c r="I76" s="19" t="n">
        <v>730.6900000000001</v>
      </c>
      <c r="J76" s="41" t="n">
        <v>620.701</v>
      </c>
      <c r="K76" s="42">
        <f>IF(AND(B76="SELL",E76&gt;0,J76&lt;&gt;""),J76/E76,0)</f>
        <v/>
      </c>
      <c r="L76" s="42" t="n">
        <v>0.637</v>
      </c>
      <c r="M76" s="40">
        <f>IF(AND(B76="SELL",L76&gt;0),D76*L76,0)</f>
        <v/>
      </c>
      <c r="N76" s="36" t="n"/>
      <c r="O76" s="43">
        <f>IF(AND(B76="SELL",G76&lt;&gt;0),Q76/ABS(G76),0)</f>
        <v/>
      </c>
      <c r="P76" s="43">
        <f>IF(AND(B76="SELL",D76&gt;0),R76/D76,0)</f>
        <v/>
      </c>
      <c r="Q76" s="44">
        <f>IF(AND(B76="SELL",D76&gt;0,E76&gt;0),(D76/E76)+G76,0)</f>
        <v/>
      </c>
      <c r="R76" s="45">
        <f>IF(B76="SELL",Q76*F76,0)</f>
        <v/>
      </c>
      <c r="S76" s="24">
        <f>S75+R76</f>
        <v/>
      </c>
    </row>
    <row r="77" ht="15.75" customHeight="1" s="94">
      <c r="A77" s="46" t="n">
        <v>76</v>
      </c>
      <c r="B77" s="47" t="inlineStr">
        <is>
          <t>SELL</t>
        </is>
      </c>
      <c r="C77" s="48" t="n">
        <v>46094</v>
      </c>
      <c r="D77" s="49" t="n">
        <v>50000</v>
      </c>
      <c r="E77" s="50" t="n">
        <v>917.9</v>
      </c>
      <c r="F77" s="50" t="n">
        <v>917.9</v>
      </c>
      <c r="G77" s="51" t="n">
        <v>-51.02</v>
      </c>
      <c r="H77" s="51" t="n">
        <v>-0.06</v>
      </c>
      <c r="I77" s="30" t="n">
        <v>679.61</v>
      </c>
      <c r="J77" s="51" t="n">
        <v>624.171</v>
      </c>
      <c r="K77" s="52">
        <f>IF(AND(B77="SELL",E77&gt;0,J77&lt;&gt;""),J77/E77,0)</f>
        <v/>
      </c>
      <c r="L77" s="52" t="n">
        <v>0.637</v>
      </c>
      <c r="M77" s="50">
        <f>IF(AND(B77="SELL",L77&gt;0),D77*L77,0)</f>
        <v/>
      </c>
      <c r="N77" s="46" t="n"/>
      <c r="O77" s="53">
        <f>IF(AND(B77="SELL",G77&lt;&gt;0),Q77/ABS(G77),0)</f>
        <v/>
      </c>
      <c r="P77" s="53">
        <f>IF(AND(B77="SELL",D77&gt;0),R77/D77,0)</f>
        <v/>
      </c>
      <c r="Q77" s="54">
        <f>IF(AND(B77="SELL",D77&gt;0,E77&gt;0),(D77/E77)+G77,0)</f>
        <v/>
      </c>
      <c r="R77" s="55">
        <f>IF(B77="SELL",Q77*F77,0)</f>
        <v/>
      </c>
      <c r="S77" s="35">
        <f>S76+R77</f>
        <v/>
      </c>
    </row>
    <row r="78" ht="15.75" customHeight="1" s="94">
      <c r="A78" s="36" t="n">
        <v>77</v>
      </c>
      <c r="B78" s="37" t="inlineStr">
        <is>
          <t>SELL</t>
        </is>
      </c>
      <c r="C78" s="38" t="n">
        <v>46094</v>
      </c>
      <c r="D78" s="39" t="n">
        <v>10000</v>
      </c>
      <c r="E78" s="40" t="n">
        <v>917.9</v>
      </c>
      <c r="F78" s="40" t="n">
        <v>917.9</v>
      </c>
      <c r="G78" s="41" t="n">
        <v>-10.31</v>
      </c>
      <c r="H78" s="41" t="n">
        <v>-0.06</v>
      </c>
      <c r="I78" s="19" t="n">
        <v>669.24</v>
      </c>
      <c r="J78" s="41" t="n">
        <v>617.3579999999999</v>
      </c>
      <c r="K78" s="42">
        <f>IF(AND(B78="SELL",E78&gt;0,J78&lt;&gt;""),J78/E78,0)</f>
        <v/>
      </c>
      <c r="L78" s="42" t="n">
        <v>0.637</v>
      </c>
      <c r="M78" s="40">
        <f>IF(AND(B78="SELL",L78&gt;0),D78*L78,0)</f>
        <v/>
      </c>
      <c r="N78" s="36" t="n"/>
      <c r="O78" s="43">
        <f>IF(AND(B78="SELL",G78&lt;&gt;0),Q78/ABS(G78),0)</f>
        <v/>
      </c>
      <c r="P78" s="43">
        <f>IF(AND(B78="SELL",D78&gt;0),R78/D78,0)</f>
        <v/>
      </c>
      <c r="Q78" s="44">
        <f>IF(AND(B78="SELL",D78&gt;0,E78&gt;0),(D78/E78)+G78,0)</f>
        <v/>
      </c>
      <c r="R78" s="45">
        <f>IF(B78="SELL",Q78*F78,0)</f>
        <v/>
      </c>
      <c r="S78" s="24">
        <f>S77+R78</f>
        <v/>
      </c>
    </row>
    <row r="79" ht="15.75" customHeight="1" s="94">
      <c r="A79" s="46" t="n">
        <v>78</v>
      </c>
      <c r="B79" s="47" t="inlineStr">
        <is>
          <t>SELL</t>
        </is>
      </c>
      <c r="C79" s="48" t="n">
        <v>46095</v>
      </c>
      <c r="D79" s="49" t="n">
        <v>40000</v>
      </c>
      <c r="E79" s="50" t="n">
        <v>917.9</v>
      </c>
      <c r="F79" s="50" t="n">
        <v>917.9</v>
      </c>
      <c r="G79" s="51" t="n">
        <v>-41.18</v>
      </c>
      <c r="H79" s="51" t="n">
        <v>-0.06</v>
      </c>
      <c r="I79" s="30" t="n">
        <v>628</v>
      </c>
      <c r="J79" s="51" t="n">
        <v>620.6</v>
      </c>
      <c r="K79" s="52">
        <f>IF(AND(B79="SELL",E79&gt;0,J79&lt;&gt;""),J79/E79,0)</f>
        <v/>
      </c>
      <c r="L79" s="52" t="n">
        <v>0.639</v>
      </c>
      <c r="M79" s="50">
        <f>IF(AND(B79="SELL",L79&gt;0),D79*L79,0)</f>
        <v/>
      </c>
      <c r="N79" s="46" t="n"/>
      <c r="O79" s="53">
        <f>IF(AND(B79="SELL",G79&lt;&gt;0),Q79/ABS(G79),0)</f>
        <v/>
      </c>
      <c r="P79" s="53">
        <f>IF(AND(B79="SELL",D79&gt;0),R79/D79,0)</f>
        <v/>
      </c>
      <c r="Q79" s="54">
        <f>IF(AND(B79="SELL",D79&gt;0,E79&gt;0),(D79/E79)+G79,0)</f>
        <v/>
      </c>
      <c r="R79" s="55">
        <f>IF(B79="SELL",Q79*F79,0)</f>
        <v/>
      </c>
      <c r="S79" s="35">
        <f>S78+R79</f>
        <v/>
      </c>
    </row>
    <row r="80" ht="15.75" customHeight="1" s="94">
      <c r="A80" s="36" t="n">
        <v>79</v>
      </c>
      <c r="B80" s="37" t="inlineStr">
        <is>
          <t>SELL</t>
        </is>
      </c>
      <c r="C80" s="38" t="n">
        <v>46095</v>
      </c>
      <c r="D80" s="39" t="n">
        <v>10000</v>
      </c>
      <c r="E80" s="40" t="n">
        <v>917.9</v>
      </c>
      <c r="F80" s="40" t="n">
        <v>917.9</v>
      </c>
      <c r="G80" s="41" t="n">
        <v>-10.29</v>
      </c>
      <c r="H80" s="41" t="n">
        <v>-0.06</v>
      </c>
      <c r="I80" s="19" t="n">
        <v>617.65</v>
      </c>
      <c r="J80" s="41" t="n">
        <v>620.6</v>
      </c>
      <c r="K80" s="42">
        <f>IF(AND(B80="SELL",E80&gt;0,J80&lt;&gt;""),J80/E80,0)</f>
        <v/>
      </c>
      <c r="L80" s="42" t="n">
        <v>0.639</v>
      </c>
      <c r="M80" s="40">
        <f>IF(AND(B80="SELL",L80&gt;0),D80*L80,0)</f>
        <v/>
      </c>
      <c r="N80" s="36" t="n"/>
      <c r="O80" s="43">
        <f>IF(AND(B80="SELL",G80&lt;&gt;0),Q80/ABS(G80),0)</f>
        <v/>
      </c>
      <c r="P80" s="43">
        <f>IF(AND(B80="SELL",D80&gt;0),R80/D80,0)</f>
        <v/>
      </c>
      <c r="Q80" s="44">
        <f>IF(AND(B80="SELL",D80&gt;0,E80&gt;0),(D80/E80)+G80,0)</f>
        <v/>
      </c>
      <c r="R80" s="45">
        <f>IF(B80="SELL",Q80*F80,0)</f>
        <v/>
      </c>
      <c r="S80" s="24">
        <f>S79+R80</f>
        <v/>
      </c>
    </row>
    <row r="81" ht="15.75" customHeight="1" s="94">
      <c r="A81" s="46" t="n">
        <v>80</v>
      </c>
      <c r="B81" s="47" t="inlineStr">
        <is>
          <t>SELL</t>
        </is>
      </c>
      <c r="C81" s="48" t="n">
        <v>46095</v>
      </c>
      <c r="D81" s="49" t="n">
        <v>10000</v>
      </c>
      <c r="E81" s="50" t="n">
        <v>917.9</v>
      </c>
      <c r="F81" s="50" t="n">
        <v>917.9</v>
      </c>
      <c r="G81" s="51" t="n">
        <v>-10.35</v>
      </c>
      <c r="H81" s="51" t="n">
        <v>-0.06</v>
      </c>
      <c r="I81" s="30" t="n">
        <v>607.24</v>
      </c>
      <c r="J81" s="51" t="n">
        <v>617</v>
      </c>
      <c r="K81" s="52">
        <f>IF(AND(B81="SELL",E81&gt;0,J81&lt;&gt;""),J81/E81,0)</f>
        <v/>
      </c>
      <c r="L81" s="52" t="n">
        <v>0.639</v>
      </c>
      <c r="M81" s="50">
        <f>IF(AND(B81="SELL",L81&gt;0),D81*L81,0)</f>
        <v/>
      </c>
      <c r="N81" s="46" t="n"/>
      <c r="O81" s="53">
        <f>IF(AND(B81="SELL",G81&lt;&gt;0),Q81/ABS(G81),0)</f>
        <v/>
      </c>
      <c r="P81" s="53">
        <f>IF(AND(B81="SELL",D81&gt;0),R81/D81,0)</f>
        <v/>
      </c>
      <c r="Q81" s="54">
        <f>IF(AND(B81="SELL",D81&gt;0,E81&gt;0),(D81/E81)+G81,0)</f>
        <v/>
      </c>
      <c r="R81" s="55">
        <f>IF(B81="SELL",Q81*F81,0)</f>
        <v/>
      </c>
      <c r="S81" s="35">
        <f>S80+R81</f>
        <v/>
      </c>
    </row>
    <row r="82" ht="15.75" customHeight="1" s="94">
      <c r="A82" s="36" t="n">
        <v>81</v>
      </c>
      <c r="B82" s="37" t="inlineStr">
        <is>
          <t>SELL</t>
        </is>
      </c>
      <c r="C82" s="38" t="n">
        <v>46095</v>
      </c>
      <c r="D82" s="39" t="n">
        <v>15000</v>
      </c>
      <c r="E82" s="40" t="n">
        <v>917.9</v>
      </c>
      <c r="F82" s="40" t="n">
        <v>917.9</v>
      </c>
      <c r="G82" s="41" t="n">
        <v>-15.52</v>
      </c>
      <c r="H82" s="41" t="n">
        <v>-0.06</v>
      </c>
      <c r="I82" s="19" t="n">
        <v>591.66</v>
      </c>
      <c r="J82" s="41" t="n">
        <v>617.3</v>
      </c>
      <c r="K82" s="42">
        <f>IF(AND(B82="SELL",E82&gt;0,J82&lt;&gt;""),J82/E82,0)</f>
        <v/>
      </c>
      <c r="L82" s="42" t="n">
        <v>0.639</v>
      </c>
      <c r="M82" s="40">
        <f>IF(AND(B82="SELL",L82&gt;0),D82*L82,0)</f>
        <v/>
      </c>
      <c r="N82" s="36" t="n"/>
      <c r="O82" s="43">
        <f>IF(AND(B82="SELL",G82&lt;&gt;0),Q82/ABS(G82),0)</f>
        <v/>
      </c>
      <c r="P82" s="43">
        <f>IF(AND(B82="SELL",D82&gt;0),R82/D82,0)</f>
        <v/>
      </c>
      <c r="Q82" s="44">
        <f>IF(AND(B82="SELL",D82&gt;0,E82&gt;0),(D82/E82)+G82,0)</f>
        <v/>
      </c>
      <c r="R82" s="45">
        <f>IF(B82="SELL",Q82*F82,0)</f>
        <v/>
      </c>
      <c r="S82" s="24">
        <f>S81+R82</f>
        <v/>
      </c>
    </row>
    <row r="83" ht="15.75" customHeight="1" s="94">
      <c r="A83" s="46" t="n">
        <v>82</v>
      </c>
      <c r="B83" s="47" t="inlineStr">
        <is>
          <t>SELL</t>
        </is>
      </c>
      <c r="C83" s="48" t="n">
        <v>46095</v>
      </c>
      <c r="D83" s="49" t="n">
        <v>10000</v>
      </c>
      <c r="E83" s="50" t="n">
        <v>917.9</v>
      </c>
      <c r="F83" s="50" t="n">
        <v>917.9</v>
      </c>
      <c r="G83" s="51" t="n">
        <v>-10.33</v>
      </c>
      <c r="H83" s="51" t="n">
        <v>-0.06</v>
      </c>
      <c r="I83" s="30" t="n">
        <v>581.27</v>
      </c>
      <c r="J83" s="51" t="n">
        <v>618.377</v>
      </c>
      <c r="K83" s="52">
        <f>IF(AND(B83="SELL",E83&gt;0,J83&lt;&gt;""),J83/E83,0)</f>
        <v/>
      </c>
      <c r="L83" s="52" t="n">
        <v>0.639</v>
      </c>
      <c r="M83" s="50">
        <f>IF(AND(B83="SELL",L83&gt;0),D83*L83,0)</f>
        <v/>
      </c>
      <c r="N83" s="46" t="n"/>
      <c r="O83" s="53">
        <f>IF(AND(B83="SELL",G83&lt;&gt;0),Q83/ABS(G83),0)</f>
        <v/>
      </c>
      <c r="P83" s="53">
        <f>IF(AND(B83="SELL",D83&gt;0),R83/D83,0)</f>
        <v/>
      </c>
      <c r="Q83" s="54">
        <f>IF(AND(B83="SELL",D83&gt;0,E83&gt;0),(D83/E83)+G83,0)</f>
        <v/>
      </c>
      <c r="R83" s="55">
        <f>IF(B83="SELL",Q83*F83,0)</f>
        <v/>
      </c>
      <c r="S83" s="35">
        <f>S82+R83</f>
        <v/>
      </c>
    </row>
    <row r="84" ht="15.75" customHeight="1" s="94">
      <c r="A84" s="36" t="n">
        <v>83</v>
      </c>
      <c r="B84" s="37" t="inlineStr">
        <is>
          <t>SELL</t>
        </is>
      </c>
      <c r="C84" s="38" t="n">
        <v>46095</v>
      </c>
      <c r="D84" s="39" t="n">
        <v>10000</v>
      </c>
      <c r="E84" s="40" t="n">
        <v>917.9</v>
      </c>
      <c r="F84" s="40" t="n">
        <v>917.9</v>
      </c>
      <c r="G84" s="41" t="n">
        <v>-10.35</v>
      </c>
      <c r="H84" s="41" t="n">
        <v>-0.06</v>
      </c>
      <c r="I84" s="19" t="n">
        <v>570.86</v>
      </c>
      <c r="J84" s="41" t="n">
        <v>617.153</v>
      </c>
      <c r="K84" s="42">
        <f>IF(AND(B84="SELL",E84&gt;0,J84&lt;&gt;""),J84/E84,0)</f>
        <v/>
      </c>
      <c r="L84" s="42" t="n">
        <v>0.639</v>
      </c>
      <c r="M84" s="40">
        <f>IF(AND(B84="SELL",L84&gt;0),D84*L84,0)</f>
        <v/>
      </c>
      <c r="N84" s="36" t="n"/>
      <c r="O84" s="43">
        <f>IF(AND(B84="SELL",G84&lt;&gt;0),Q84/ABS(G84),0)</f>
        <v/>
      </c>
      <c r="P84" s="43">
        <f>IF(AND(B84="SELL",D84&gt;0),R84/D84,0)</f>
        <v/>
      </c>
      <c r="Q84" s="44">
        <f>IF(AND(B84="SELL",D84&gt;0,E84&gt;0),(D84/E84)+G84,0)</f>
        <v/>
      </c>
      <c r="R84" s="45">
        <f>IF(B84="SELL",Q84*F84,0)</f>
        <v/>
      </c>
      <c r="S84" s="24">
        <f>S83+R84</f>
        <v/>
      </c>
    </row>
    <row r="85" ht="15.75" customHeight="1" s="94">
      <c r="A85" s="46" t="n">
        <v>84</v>
      </c>
      <c r="B85" s="47" t="inlineStr">
        <is>
          <t>SELL</t>
        </is>
      </c>
      <c r="C85" s="48" t="n">
        <v>46095</v>
      </c>
      <c r="D85" s="49" t="n">
        <v>10000</v>
      </c>
      <c r="E85" s="50" t="n">
        <v>917.9</v>
      </c>
      <c r="F85" s="50" t="n">
        <v>917.9</v>
      </c>
      <c r="G85" s="51" t="n">
        <v>-10.37</v>
      </c>
      <c r="H85" s="51" t="n">
        <v>-0.06</v>
      </c>
      <c r="I85" s="30" t="n">
        <v>560.4299999999999</v>
      </c>
      <c r="J85" s="51" t="n">
        <v>616.002</v>
      </c>
      <c r="K85" s="52">
        <f>IF(AND(B85="SELL",E85&gt;0,J85&lt;&gt;""),J85/E85,0)</f>
        <v/>
      </c>
      <c r="L85" s="52" t="n">
        <v>0.639</v>
      </c>
      <c r="M85" s="50">
        <f>IF(AND(B85="SELL",L85&gt;0),D85*L85,0)</f>
        <v/>
      </c>
      <c r="N85" s="46" t="n"/>
      <c r="O85" s="53">
        <f>IF(AND(B85="SELL",G85&lt;&gt;0),Q85/ABS(G85),0)</f>
        <v/>
      </c>
      <c r="P85" s="53">
        <f>IF(AND(B85="SELL",D85&gt;0),R85/D85,0)</f>
        <v/>
      </c>
      <c r="Q85" s="54">
        <f>IF(AND(B85="SELL",D85&gt;0,E85&gt;0),(D85/E85)+G85,0)</f>
        <v/>
      </c>
      <c r="R85" s="55">
        <f>IF(B85="SELL",Q85*F85,0)</f>
        <v/>
      </c>
      <c r="S85" s="35">
        <f>S84+R85</f>
        <v/>
      </c>
    </row>
    <row r="86" ht="15.75" customHeight="1" s="94">
      <c r="A86" s="36" t="n">
        <v>85</v>
      </c>
      <c r="B86" s="37" t="inlineStr">
        <is>
          <t>SELL</t>
        </is>
      </c>
      <c r="C86" s="38" t="n">
        <v>46095</v>
      </c>
      <c r="D86" s="39" t="n">
        <v>355000</v>
      </c>
      <c r="E86" s="40" t="n">
        <v>917.9</v>
      </c>
      <c r="F86" s="40" t="n">
        <v>917.9</v>
      </c>
      <c r="G86" s="41" t="n">
        <v>-344.56</v>
      </c>
      <c r="H86" s="41" t="n">
        <v>-0.06</v>
      </c>
      <c r="I86" s="19" t="n">
        <v>215.81</v>
      </c>
      <c r="J86" s="41" t="n">
        <v>1.03</v>
      </c>
      <c r="K86" s="42">
        <f>IF(AND(B86="SELL",E86&gt;0,J86&lt;&gt;""),J86/E86,0)</f>
        <v/>
      </c>
      <c r="L86" s="42" t="n">
        <v>0.0009997000000000001</v>
      </c>
      <c r="M86" s="40">
        <f>IF(AND(B86="SELL",L86&gt;0),D86*L86,0)</f>
        <v/>
      </c>
      <c r="N86" s="36" t="n"/>
      <c r="O86" s="43">
        <f>IF(AND(B86="SELL",G86&lt;&gt;0),Q86/ABS(G86),0)</f>
        <v/>
      </c>
      <c r="P86" s="43">
        <f>IF(AND(B86="SELL",D86&gt;0),R86/D86,0)</f>
        <v/>
      </c>
      <c r="Q86" s="44">
        <f>IF(AND(B86="SELL",D86&gt;0,E86&gt;0),(D86/E86)+G86,0)</f>
        <v/>
      </c>
      <c r="R86" s="45">
        <f>IF(B86="SELL",Q86*F86,0)</f>
        <v/>
      </c>
      <c r="S86" s="24">
        <f>S85+R86</f>
        <v/>
      </c>
    </row>
    <row r="87" ht="15.75" customHeight="1" s="94">
      <c r="A87" s="46" t="n">
        <v>86</v>
      </c>
      <c r="B87" s="47" t="inlineStr">
        <is>
          <t>SELL</t>
        </is>
      </c>
      <c r="C87" s="48" t="n">
        <v>46095</v>
      </c>
      <c r="D87" s="49" t="n">
        <v>20000</v>
      </c>
      <c r="E87" s="50" t="n">
        <v>917.9</v>
      </c>
      <c r="F87" s="50" t="n">
        <v>917.9</v>
      </c>
      <c r="G87" s="51" t="n">
        <v>-20.78</v>
      </c>
      <c r="H87" s="51" t="n">
        <v>-0.06</v>
      </c>
      <c r="I87" s="30" t="n">
        <v>194.97</v>
      </c>
      <c r="J87" s="51" t="n">
        <v>615</v>
      </c>
      <c r="K87" s="52">
        <f>IF(AND(B87="SELL",E87&gt;0,J87&lt;&gt;""),J87/E87,0)</f>
        <v/>
      </c>
      <c r="L87" s="52" t="n">
        <v>0.639</v>
      </c>
      <c r="M87" s="50">
        <f>IF(AND(B87="SELL",L87&gt;0),D87*L87,0)</f>
        <v/>
      </c>
      <c r="N87" s="46" t="n"/>
      <c r="O87" s="53">
        <f>IF(AND(B87="SELL",G87&lt;&gt;0),Q87/ABS(G87),0)</f>
        <v/>
      </c>
      <c r="P87" s="53">
        <f>IF(AND(B87="SELL",D87&gt;0),R87/D87,0)</f>
        <v/>
      </c>
      <c r="Q87" s="54">
        <f>IF(AND(B87="SELL",D87&gt;0,E87&gt;0),(D87/E87)+G87,0)</f>
        <v/>
      </c>
      <c r="R87" s="55">
        <f>IF(B87="SELL",Q87*F87,0)</f>
        <v/>
      </c>
      <c r="S87" s="35">
        <f>S86+R87</f>
        <v/>
      </c>
    </row>
    <row r="88" ht="15.75" customHeight="1" s="94">
      <c r="A88" s="36" t="n">
        <v>87</v>
      </c>
      <c r="B88" s="37" t="inlineStr">
        <is>
          <t>SELL</t>
        </is>
      </c>
      <c r="C88" s="38" t="n">
        <v>46096</v>
      </c>
      <c r="D88" s="39" t="n">
        <v>40000</v>
      </c>
      <c r="E88" s="40" t="n">
        <v>917.9</v>
      </c>
      <c r="F88" s="40" t="n">
        <v>917.9</v>
      </c>
      <c r="G88" s="41" t="n">
        <v>-40.65</v>
      </c>
      <c r="H88" s="41" t="n">
        <v>-0.06</v>
      </c>
      <c r="I88" s="19" t="n">
        <v>154.26</v>
      </c>
      <c r="J88" s="41" t="n">
        <v>625.8</v>
      </c>
      <c r="K88" s="42">
        <f>IF(AND(B88="SELL",E88&gt;0,J88&lt;&gt;""),J88/E88,0)</f>
        <v/>
      </c>
      <c r="L88" s="42" t="n">
        <v>0.636</v>
      </c>
      <c r="M88" s="40">
        <f>IF(AND(B88="SELL",L88&gt;0),D88*L88,0)</f>
        <v/>
      </c>
      <c r="N88" s="36" t="n"/>
      <c r="O88" s="43">
        <f>IF(AND(B88="SELL",G88&lt;&gt;0),Q88/ABS(G88),0)</f>
        <v/>
      </c>
      <c r="P88" s="43">
        <f>IF(AND(B88="SELL",D88&gt;0),R88/D88,0)</f>
        <v/>
      </c>
      <c r="Q88" s="44">
        <f>IF(AND(B88="SELL",D88&gt;0,E88&gt;0),(D88/E88)+G88,0)</f>
        <v/>
      </c>
      <c r="R88" s="45">
        <f>IF(B88="SELL",Q88*F88,0)</f>
        <v/>
      </c>
      <c r="S88" s="24">
        <f>S87+R88</f>
        <v/>
      </c>
    </row>
    <row r="89" ht="15.75" customHeight="1" s="94">
      <c r="A89" s="46" t="n">
        <v>88</v>
      </c>
      <c r="B89" s="47" t="inlineStr">
        <is>
          <t>SELL</t>
        </is>
      </c>
      <c r="C89" s="48" t="n">
        <v>46096</v>
      </c>
      <c r="D89" s="49" t="n">
        <v>20000</v>
      </c>
      <c r="E89" s="50" t="n">
        <v>917.9</v>
      </c>
      <c r="F89" s="50" t="n">
        <v>917.9</v>
      </c>
      <c r="G89" s="51" t="n">
        <v>-20.28</v>
      </c>
      <c r="H89" s="51" t="n">
        <v>-0.06</v>
      </c>
      <c r="I89" s="30" t="n">
        <v>133.92</v>
      </c>
      <c r="J89" s="51" t="n">
        <v>627.1</v>
      </c>
      <c r="K89" s="52">
        <f>IF(AND(B89="SELL",E89&gt;0,J89&lt;&gt;""),J89/E89,0)</f>
        <v/>
      </c>
      <c r="L89" s="52" t="n">
        <v>0.636</v>
      </c>
      <c r="M89" s="50">
        <f>IF(AND(B89="SELL",L89&gt;0),D89*L89,0)</f>
        <v/>
      </c>
      <c r="N89" s="46" t="n"/>
      <c r="O89" s="53">
        <f>IF(AND(B89="SELL",G89&lt;&gt;0),Q89/ABS(G89),0)</f>
        <v/>
      </c>
      <c r="P89" s="53">
        <f>IF(AND(B89="SELL",D89&gt;0),R89/D89,0)</f>
        <v/>
      </c>
      <c r="Q89" s="54">
        <f>IF(AND(B89="SELL",D89&gt;0,E89&gt;0),(D89/E89)+G89,0)</f>
        <v/>
      </c>
      <c r="R89" s="55">
        <f>IF(B89="SELL",Q89*F89,0)</f>
        <v/>
      </c>
      <c r="S89" s="35">
        <f>S88+R89</f>
        <v/>
      </c>
    </row>
    <row r="90" ht="15.75" customHeight="1" s="94">
      <c r="A90" s="36" t="n">
        <v>89</v>
      </c>
      <c r="B90" s="37" t="inlineStr">
        <is>
          <t>SELL</t>
        </is>
      </c>
      <c r="C90" s="38" t="n">
        <v>46096</v>
      </c>
      <c r="D90" s="39" t="n">
        <v>37000</v>
      </c>
      <c r="E90" s="40" t="n">
        <v>917.9</v>
      </c>
      <c r="F90" s="40" t="n">
        <v>917.9</v>
      </c>
      <c r="G90" s="41" t="n">
        <v>-37.49</v>
      </c>
      <c r="H90" s="41" t="n">
        <v>-0.06</v>
      </c>
      <c r="I90" s="19" t="n">
        <v>96.37</v>
      </c>
      <c r="J90" s="41" t="n">
        <v>627.65</v>
      </c>
      <c r="K90" s="42">
        <f>IF(AND(B90="SELL",E90&gt;0,J90&lt;&gt;""),J90/E90,0)</f>
        <v/>
      </c>
      <c r="L90" s="42" t="n">
        <v>0.636</v>
      </c>
      <c r="M90" s="40">
        <f>IF(AND(B90="SELL",L90&gt;0),D90*L90,0)</f>
        <v/>
      </c>
      <c r="N90" s="36" t="n"/>
      <c r="O90" s="43">
        <f>IF(AND(B90="SELL",G90&lt;&gt;0),Q90/ABS(G90),0)</f>
        <v/>
      </c>
      <c r="P90" s="43">
        <f>IF(AND(B90="SELL",D90&gt;0),R90/D90,0)</f>
        <v/>
      </c>
      <c r="Q90" s="44">
        <f>IF(AND(B90="SELL",D90&gt;0,E90&gt;0),(D90/E90)+G90,0)</f>
        <v/>
      </c>
      <c r="R90" s="45">
        <f>IF(B90="SELL",Q90*F90,0)</f>
        <v/>
      </c>
      <c r="S90" s="24">
        <f>S89+R90</f>
        <v/>
      </c>
    </row>
    <row r="91" ht="15.75" customHeight="1" s="94">
      <c r="A91" s="46" t="n">
        <v>90</v>
      </c>
      <c r="B91" s="47" t="inlineStr">
        <is>
          <t>SELL</t>
        </is>
      </c>
      <c r="C91" s="48" t="n">
        <v>46096</v>
      </c>
      <c r="D91" s="49" t="n">
        <v>30000</v>
      </c>
      <c r="E91" s="50" t="n">
        <v>917.9</v>
      </c>
      <c r="F91" s="50" t="n">
        <v>917.9</v>
      </c>
      <c r="G91" s="51" t="n">
        <v>-30.42</v>
      </c>
      <c r="H91" s="51" t="n">
        <v>-0.06</v>
      </c>
      <c r="I91" s="30" t="n">
        <v>65.89</v>
      </c>
      <c r="J91" s="51" t="n">
        <v>627.151</v>
      </c>
      <c r="K91" s="52">
        <f>IF(AND(B91="SELL",E91&gt;0,J91&lt;&gt;""),J91/E91,0)</f>
        <v/>
      </c>
      <c r="L91" s="52" t="n">
        <v>0.636</v>
      </c>
      <c r="M91" s="50">
        <f>IF(AND(B91="SELL",L91&gt;0),D91*L91,0)</f>
        <v/>
      </c>
      <c r="N91" s="46" t="n"/>
      <c r="O91" s="53">
        <f>IF(AND(B91="SELL",G91&lt;&gt;0),Q91/ABS(G91),0)</f>
        <v/>
      </c>
      <c r="P91" s="53">
        <f>IF(AND(B91="SELL",D91&gt;0),R91/D91,0)</f>
        <v/>
      </c>
      <c r="Q91" s="54">
        <f>IF(AND(B91="SELL",D91&gt;0,E91&gt;0),(D91/E91)+G91,0)</f>
        <v/>
      </c>
      <c r="R91" s="55">
        <f>IF(B91="SELL",Q91*F91,0)</f>
        <v/>
      </c>
      <c r="S91" s="35">
        <f>S90+R91</f>
        <v/>
      </c>
    </row>
    <row r="92" ht="15.75" customHeight="1" s="94">
      <c r="A92" s="14" t="n">
        <v>91</v>
      </c>
      <c r="B92" s="15" t="inlineStr">
        <is>
          <t>BUY</t>
        </is>
      </c>
      <c r="C92" s="16" t="n">
        <v>46097</v>
      </c>
      <c r="D92" s="17" t="n">
        <v>2500000</v>
      </c>
      <c r="E92" s="18" t="n">
        <v>914</v>
      </c>
      <c r="F92" s="18" t="n">
        <v>914</v>
      </c>
      <c r="G92" s="19" t="n">
        <v>2735.22</v>
      </c>
      <c r="H92" s="19" t="n">
        <v>-0.07000000000000001</v>
      </c>
      <c r="I92" s="19" t="n">
        <v>2801.04</v>
      </c>
      <c r="J92" s="19" t="n"/>
      <c r="K92" s="20">
        <f>IF(AND(B92="SELL",E92&gt;0,J92&lt;&gt;""),J92/E92,0)</f>
        <v/>
      </c>
      <c r="L92" s="20" t="n"/>
      <c r="M92" s="18">
        <f>IF(AND(B92="SELL",L92&gt;0),D92*L92,0)</f>
        <v/>
      </c>
      <c r="N92" s="14" t="n"/>
      <c r="O92" s="21">
        <f>IF(AND(B92="SELL",G92&lt;&gt;0),Q92/ABS(G92),0)</f>
        <v/>
      </c>
      <c r="P92" s="21">
        <f>IF(AND(B92="SELL",D92&gt;0),R92/D92,0)</f>
        <v/>
      </c>
      <c r="Q92" s="22">
        <f>IF(AND(B92="SELL",D92&gt;0,E92&gt;0),(D92/E92)+G92,0)</f>
        <v/>
      </c>
      <c r="R92" s="23">
        <f>IF(B92="SELL",Q92*F92,0)</f>
        <v/>
      </c>
      <c r="S92" s="24">
        <f>S91+R92</f>
        <v/>
      </c>
    </row>
    <row r="93" ht="15.75" customHeight="1" s="94">
      <c r="A93" s="46" t="n">
        <v>92</v>
      </c>
      <c r="B93" s="47" t="inlineStr">
        <is>
          <t>SELL</t>
        </is>
      </c>
      <c r="C93" s="48" t="n">
        <v>46097</v>
      </c>
      <c r="D93" s="49" t="n">
        <v>20000</v>
      </c>
      <c r="E93" s="50" t="n">
        <v>914</v>
      </c>
      <c r="F93" s="50" t="n">
        <v>914</v>
      </c>
      <c r="G93" s="51" t="n">
        <v>-20.85</v>
      </c>
      <c r="H93" s="51" t="n">
        <v>-0.06</v>
      </c>
      <c r="I93" s="30" t="n">
        <v>2780.13</v>
      </c>
      <c r="J93" s="51" t="n">
        <v>628.177</v>
      </c>
      <c r="K93" s="52">
        <f>IF(AND(B93="SELL",E93&gt;0,J93&lt;&gt;""),J93/E93,0)</f>
        <v/>
      </c>
      <c r="L93" s="52" t="n">
        <v>0.655</v>
      </c>
      <c r="M93" s="50">
        <f>IF(AND(B93="SELL",L93&gt;0),D93*L93,0)</f>
        <v/>
      </c>
      <c r="N93" s="46" t="n"/>
      <c r="O93" s="53">
        <f>IF(AND(B93="SELL",G93&lt;&gt;0),Q93/ABS(G93),0)</f>
        <v/>
      </c>
      <c r="P93" s="53">
        <f>IF(AND(B93="SELL",D93&gt;0),R93/D93,0)</f>
        <v/>
      </c>
      <c r="Q93" s="54">
        <f>IF(AND(B93="SELL",D93&gt;0,E93&gt;0),(D93/E93)+G93,0)</f>
        <v/>
      </c>
      <c r="R93" s="55">
        <f>IF(B93="SELL",Q93*F93,0)</f>
        <v/>
      </c>
      <c r="S93" s="35">
        <f>S92+R93</f>
        <v/>
      </c>
    </row>
    <row r="94" ht="15.75" customHeight="1" s="94">
      <c r="A94" s="36" t="n">
        <v>93</v>
      </c>
      <c r="B94" s="37" t="inlineStr">
        <is>
          <t>SELL</t>
        </is>
      </c>
      <c r="C94" s="38" t="n">
        <v>46097</v>
      </c>
      <c r="D94" s="39" t="n">
        <v>50000</v>
      </c>
      <c r="E94" s="40" t="n">
        <v>914</v>
      </c>
      <c r="F94" s="40" t="n">
        <v>914</v>
      </c>
      <c r="G94" s="41" t="n">
        <v>-52.3</v>
      </c>
      <c r="H94" s="41" t="n">
        <v>-0.06</v>
      </c>
      <c r="I94" s="19" t="n">
        <v>2727.77</v>
      </c>
      <c r="J94" s="41" t="n">
        <v>626.1</v>
      </c>
      <c r="K94" s="42">
        <f>IF(AND(B94="SELL",E94&gt;0,J94&lt;&gt;""),J94/E94,0)</f>
        <v/>
      </c>
      <c r="L94" s="42" t="n">
        <v>0.655</v>
      </c>
      <c r="M94" s="40">
        <f>IF(AND(B94="SELL",L94&gt;0),D94*L94,0)</f>
        <v/>
      </c>
      <c r="N94" s="36" t="n"/>
      <c r="O94" s="43">
        <f>IF(AND(B94="SELL",G94&lt;&gt;0),Q94/ABS(G94),0)</f>
        <v/>
      </c>
      <c r="P94" s="43">
        <f>IF(AND(B94="SELL",D94&gt;0),R94/D94,0)</f>
        <v/>
      </c>
      <c r="Q94" s="44">
        <f>IF(AND(B94="SELL",D94&gt;0,E94&gt;0),(D94/E94)+G94,0)</f>
        <v/>
      </c>
      <c r="R94" s="45">
        <f>IF(B94="SELL",Q94*F94,0)</f>
        <v/>
      </c>
      <c r="S94" s="24">
        <f>S93+R94</f>
        <v/>
      </c>
    </row>
    <row r="95" ht="15.75" customHeight="1" s="94">
      <c r="A95" s="46" t="n">
        <v>94</v>
      </c>
      <c r="B95" s="47" t="inlineStr">
        <is>
          <t>SELL</t>
        </is>
      </c>
      <c r="C95" s="48" t="n">
        <v>46097</v>
      </c>
      <c r="D95" s="49" t="n">
        <v>50000</v>
      </c>
      <c r="E95" s="50" t="n">
        <v>914</v>
      </c>
      <c r="F95" s="50" t="n">
        <v>914</v>
      </c>
      <c r="G95" s="51" t="n">
        <v>-51.93</v>
      </c>
      <c r="H95" s="51" t="n">
        <v>-0.06</v>
      </c>
      <c r="I95" s="30" t="n">
        <v>2675.78</v>
      </c>
      <c r="J95" s="51" t="n">
        <v>630.65</v>
      </c>
      <c r="K95" s="52">
        <f>IF(AND(B95="SELL",E95&gt;0,J95&lt;&gt;""),J95/E95,0)</f>
        <v/>
      </c>
      <c r="L95" s="52" t="n">
        <v>0.655</v>
      </c>
      <c r="M95" s="50">
        <f>IF(AND(B95="SELL",L95&gt;0),D95*L95,0)</f>
        <v/>
      </c>
      <c r="N95" s="46" t="n"/>
      <c r="O95" s="53">
        <f>IF(AND(B95="SELL",G95&lt;&gt;0),Q95/ABS(G95),0)</f>
        <v/>
      </c>
      <c r="P95" s="53">
        <f>IF(AND(B95="SELL",D95&gt;0),R95/D95,0)</f>
        <v/>
      </c>
      <c r="Q95" s="54">
        <f>IF(AND(B95="SELL",D95&gt;0,E95&gt;0),(D95/E95)+G95,0)</f>
        <v/>
      </c>
      <c r="R95" s="55">
        <f>IF(B95="SELL",Q95*F95,0)</f>
        <v/>
      </c>
      <c r="S95" s="35">
        <f>S94+R95</f>
        <v/>
      </c>
    </row>
    <row r="96" ht="15.75" customHeight="1" s="94">
      <c r="A96" s="36" t="n">
        <v>95</v>
      </c>
      <c r="B96" s="37" t="inlineStr">
        <is>
          <t>SELL</t>
        </is>
      </c>
      <c r="C96" s="38" t="n">
        <v>46097</v>
      </c>
      <c r="D96" s="39" t="n">
        <v>35000</v>
      </c>
      <c r="E96" s="40" t="n">
        <v>914</v>
      </c>
      <c r="F96" s="40" t="n">
        <v>914</v>
      </c>
      <c r="G96" s="41" t="n">
        <v>-36.28</v>
      </c>
      <c r="H96" s="41" t="n">
        <v>-0.06</v>
      </c>
      <c r="I96" s="19" t="n">
        <v>2639.44</v>
      </c>
      <c r="J96" s="41" t="n">
        <v>631.75</v>
      </c>
      <c r="K96" s="42">
        <f>IF(AND(B96="SELL",E96&gt;0,J96&lt;&gt;""),J96/E96,0)</f>
        <v/>
      </c>
      <c r="L96" s="42" t="n">
        <v>0.655</v>
      </c>
      <c r="M96" s="40">
        <f>IF(AND(B96="SELL",L96&gt;0),D96*L96,0)</f>
        <v/>
      </c>
      <c r="N96" s="36" t="n"/>
      <c r="O96" s="43">
        <f>IF(AND(B96="SELL",G96&lt;&gt;0),Q96/ABS(G96),0)</f>
        <v/>
      </c>
      <c r="P96" s="43">
        <f>IF(AND(B96="SELL",D96&gt;0),R96/D96,0)</f>
        <v/>
      </c>
      <c r="Q96" s="44">
        <f>IF(AND(B96="SELL",D96&gt;0,E96&gt;0),(D96/E96)+G96,0)</f>
        <v/>
      </c>
      <c r="R96" s="45">
        <f>IF(B96="SELL",Q96*F96,0)</f>
        <v/>
      </c>
      <c r="S96" s="24">
        <f>S95+R96</f>
        <v/>
      </c>
    </row>
    <row r="97" ht="15.75" customHeight="1" s="94">
      <c r="A97" s="46" t="n">
        <v>96</v>
      </c>
      <c r="B97" s="47" t="inlineStr">
        <is>
          <t>SELL</t>
        </is>
      </c>
      <c r="C97" s="48" t="n">
        <v>46097</v>
      </c>
      <c r="D97" s="49" t="n">
        <v>80000</v>
      </c>
      <c r="E97" s="50" t="n">
        <v>914</v>
      </c>
      <c r="F97" s="50" t="n">
        <v>914</v>
      </c>
      <c r="G97" s="51" t="n">
        <v>-82.55</v>
      </c>
      <c r="H97" s="51" t="n">
        <v>-0.06</v>
      </c>
      <c r="I97" s="30" t="n">
        <v>2556.83</v>
      </c>
      <c r="J97" s="51" t="n">
        <v>634.7</v>
      </c>
      <c r="K97" s="52">
        <f>IF(AND(B97="SELL",E97&gt;0,J97&lt;&gt;""),J97/E97,0)</f>
        <v/>
      </c>
      <c r="L97" s="52" t="n">
        <v>0.655</v>
      </c>
      <c r="M97" s="50">
        <f>IF(AND(B97="SELL",L97&gt;0),D97*L97,0)</f>
        <v/>
      </c>
      <c r="N97" s="46" t="n"/>
      <c r="O97" s="53">
        <f>IF(AND(B97="SELL",G97&lt;&gt;0),Q97/ABS(G97),0)</f>
        <v/>
      </c>
      <c r="P97" s="53">
        <f>IF(AND(B97="SELL",D97&gt;0),R97/D97,0)</f>
        <v/>
      </c>
      <c r="Q97" s="54">
        <f>IF(AND(B97="SELL",D97&gt;0,E97&gt;0),(D97/E97)+G97,0)</f>
        <v/>
      </c>
      <c r="R97" s="55">
        <f>IF(B97="SELL",Q97*F97,0)</f>
        <v/>
      </c>
      <c r="S97" s="35">
        <f>S96+R97</f>
        <v/>
      </c>
    </row>
    <row r="98" ht="15.75" customHeight="1" s="94">
      <c r="A98" s="36" t="n">
        <v>97</v>
      </c>
      <c r="B98" s="37" t="inlineStr">
        <is>
          <t>SELL</t>
        </is>
      </c>
      <c r="C98" s="38" t="n">
        <v>46097</v>
      </c>
      <c r="D98" s="39" t="n">
        <v>100000</v>
      </c>
      <c r="E98" s="40" t="n">
        <v>914</v>
      </c>
      <c r="F98" s="40" t="n">
        <v>914</v>
      </c>
      <c r="G98" s="41" t="n">
        <v>-102.81</v>
      </c>
      <c r="H98" s="41" t="n">
        <v>-0.06</v>
      </c>
      <c r="I98" s="19" t="n">
        <v>2453.96</v>
      </c>
      <c r="J98" s="41" t="n">
        <v>639.01</v>
      </c>
      <c r="K98" s="42">
        <f>IF(AND(B98="SELL",E98&gt;0,J98&lt;&gt;""),J98/E98,0)</f>
        <v/>
      </c>
      <c r="L98" s="42" t="n">
        <v>0.65698</v>
      </c>
      <c r="M98" s="40">
        <f>IF(AND(B98="SELL",L98&gt;0),D98*L98,0)</f>
        <v/>
      </c>
      <c r="N98" s="36" t="n"/>
      <c r="O98" s="43">
        <f>IF(AND(B98="SELL",G98&lt;&gt;0),Q98/ABS(G98),0)</f>
        <v/>
      </c>
      <c r="P98" s="43">
        <f>IF(AND(B98="SELL",D98&gt;0),R98/D98,0)</f>
        <v/>
      </c>
      <c r="Q98" s="44">
        <f>IF(AND(B98="SELL",D98&gt;0,E98&gt;0),(D98/E98)+G98,0)</f>
        <v/>
      </c>
      <c r="R98" s="45">
        <f>IF(B98="SELL",Q98*F98,0)</f>
        <v/>
      </c>
      <c r="S98" s="24">
        <f>S97+R98</f>
        <v/>
      </c>
    </row>
    <row r="99" ht="15.75" customHeight="1" s="94">
      <c r="A99" s="46" t="n">
        <v>98</v>
      </c>
      <c r="B99" s="47" t="inlineStr">
        <is>
          <t>SELL</t>
        </is>
      </c>
      <c r="C99" s="48" t="n">
        <v>46097</v>
      </c>
      <c r="D99" s="49" t="n">
        <v>35000</v>
      </c>
      <c r="E99" s="50" t="n">
        <v>914</v>
      </c>
      <c r="F99" s="50" t="n">
        <v>914</v>
      </c>
      <c r="G99" s="51" t="n">
        <v>-35.79</v>
      </c>
      <c r="H99" s="51" t="n">
        <v>-0.06</v>
      </c>
      <c r="I99" s="30" t="n">
        <v>2418.11</v>
      </c>
      <c r="J99" s="51" t="n">
        <v>640.401</v>
      </c>
      <c r="K99" s="52">
        <f>IF(AND(B99="SELL",E99&gt;0,J99&lt;&gt;""),J99/E99,0)</f>
        <v/>
      </c>
      <c r="L99" s="52" t="n">
        <v>0.655</v>
      </c>
      <c r="M99" s="50">
        <f>IF(AND(B99="SELL",L99&gt;0),D99*L99,0)</f>
        <v/>
      </c>
      <c r="N99" s="46" t="n"/>
      <c r="O99" s="53">
        <f>IF(AND(B99="SELL",G99&lt;&gt;0),Q99/ABS(G99),0)</f>
        <v/>
      </c>
      <c r="P99" s="53">
        <f>IF(AND(B99="SELL",D99&gt;0),R99/D99,0)</f>
        <v/>
      </c>
      <c r="Q99" s="54">
        <f>IF(AND(B99="SELL",D99&gt;0,E99&gt;0),(D99/E99)+G99,0)</f>
        <v/>
      </c>
      <c r="R99" s="55">
        <f>IF(B99="SELL",Q99*F99,0)</f>
        <v/>
      </c>
      <c r="S99" s="35">
        <f>S98+R99</f>
        <v/>
      </c>
    </row>
    <row r="100" ht="15.75" customHeight="1" s="94">
      <c r="A100" s="36" t="n">
        <v>99</v>
      </c>
      <c r="B100" s="37" t="inlineStr">
        <is>
          <t>SELL</t>
        </is>
      </c>
      <c r="C100" s="38" t="n">
        <v>46097</v>
      </c>
      <c r="D100" s="39" t="n">
        <v>20000</v>
      </c>
      <c r="E100" s="40" t="n">
        <v>914</v>
      </c>
      <c r="F100" s="40" t="n">
        <v>914</v>
      </c>
      <c r="G100" s="41" t="n">
        <v>-20.32</v>
      </c>
      <c r="H100" s="41" t="n">
        <v>-0.06</v>
      </c>
      <c r="I100" s="19" t="n">
        <v>2397.73</v>
      </c>
      <c r="J100" s="41" t="n">
        <v>644.578</v>
      </c>
      <c r="K100" s="42">
        <f>IF(AND(B100="SELL",E100&gt;0,J100&lt;&gt;""),J100/E100,0)</f>
        <v/>
      </c>
      <c r="L100" s="42" t="n">
        <v>0.655</v>
      </c>
      <c r="M100" s="40">
        <f>IF(AND(B100="SELL",L100&gt;0),D100*L100,0)</f>
        <v/>
      </c>
      <c r="N100" s="36" t="n"/>
      <c r="O100" s="43">
        <f>IF(AND(B100="SELL",G100&lt;&gt;0),Q100/ABS(G100),0)</f>
        <v/>
      </c>
      <c r="P100" s="43">
        <f>IF(AND(B100="SELL",D100&gt;0),R100/D100,0)</f>
        <v/>
      </c>
      <c r="Q100" s="44">
        <f>IF(AND(B100="SELL",D100&gt;0,E100&gt;0),(D100/E100)+G100,0)</f>
        <v/>
      </c>
      <c r="R100" s="45">
        <f>IF(B100="SELL",Q100*F100,0)</f>
        <v/>
      </c>
      <c r="S100" s="24">
        <f>S99+R100</f>
        <v/>
      </c>
    </row>
    <row r="101" ht="15.75" customHeight="1" s="94">
      <c r="A101" s="46" t="n">
        <v>100</v>
      </c>
      <c r="B101" s="47" t="inlineStr">
        <is>
          <t>SELL</t>
        </is>
      </c>
      <c r="C101" s="48" t="n">
        <v>46097</v>
      </c>
      <c r="D101" s="49" t="n">
        <v>10000</v>
      </c>
      <c r="E101" s="50" t="n">
        <v>914</v>
      </c>
      <c r="F101" s="50" t="n">
        <v>914</v>
      </c>
      <c r="G101" s="51" t="n">
        <v>-10.16</v>
      </c>
      <c r="H101" s="51" t="n">
        <v>-0.06</v>
      </c>
      <c r="I101" s="30" t="n">
        <v>2387.51</v>
      </c>
      <c r="J101" s="51" t="n">
        <v>644.3150000000001</v>
      </c>
      <c r="K101" s="52">
        <f>IF(AND(B101="SELL",E101&gt;0,J101&lt;&gt;""),J101/E101,0)</f>
        <v/>
      </c>
      <c r="L101" s="52" t="n">
        <v>0.655</v>
      </c>
      <c r="M101" s="50">
        <f>IF(AND(B101="SELL",L101&gt;0),D101*L101,0)</f>
        <v/>
      </c>
      <c r="N101" s="46" t="n"/>
      <c r="O101" s="53">
        <f>IF(AND(B101="SELL",G101&lt;&gt;0),Q101/ABS(G101),0)</f>
        <v/>
      </c>
      <c r="P101" s="53">
        <f>IF(AND(B101="SELL",D101&gt;0),R101/D101,0)</f>
        <v/>
      </c>
      <c r="Q101" s="54">
        <f>IF(AND(B101="SELL",D101&gt;0,E101&gt;0),(D101/E101)+G101,0)</f>
        <v/>
      </c>
      <c r="R101" s="55">
        <f>IF(B101="SELL",Q101*F101,0)</f>
        <v/>
      </c>
      <c r="S101" s="35">
        <f>S100+R101</f>
        <v/>
      </c>
    </row>
    <row r="102" ht="15.75" customHeight="1" s="94">
      <c r="A102" s="36" t="n">
        <v>101</v>
      </c>
      <c r="B102" s="37" t="inlineStr">
        <is>
          <t>SELL</t>
        </is>
      </c>
      <c r="C102" s="38" t="n">
        <v>46097</v>
      </c>
      <c r="D102" s="39" t="n">
        <v>45000</v>
      </c>
      <c r="E102" s="40" t="n">
        <v>914</v>
      </c>
      <c r="F102" s="40" t="n">
        <v>914</v>
      </c>
      <c r="G102" s="41" t="n">
        <v>-45.56</v>
      </c>
      <c r="H102" s="41" t="n">
        <v>-0.06</v>
      </c>
      <c r="I102" s="19" t="n">
        <v>2341.89</v>
      </c>
      <c r="J102" s="41" t="n">
        <v>646.83</v>
      </c>
      <c r="K102" s="42">
        <f>IF(AND(B102="SELL",E102&gt;0,J102&lt;&gt;""),J102/E102,0)</f>
        <v/>
      </c>
      <c r="L102" s="42" t="n">
        <v>0.655</v>
      </c>
      <c r="M102" s="40">
        <f>IF(AND(B102="SELL",L102&gt;0),D102*L102,0)</f>
        <v/>
      </c>
      <c r="N102" s="36" t="n"/>
      <c r="O102" s="43">
        <f>IF(AND(B102="SELL",G102&lt;&gt;0),Q102/ABS(G102),0)</f>
        <v/>
      </c>
      <c r="P102" s="43">
        <f>IF(AND(B102="SELL",D102&gt;0),R102/D102,0)</f>
        <v/>
      </c>
      <c r="Q102" s="44">
        <f>IF(AND(B102="SELL",D102&gt;0,E102&gt;0),(D102/E102)+G102,0)</f>
        <v/>
      </c>
      <c r="R102" s="45">
        <f>IF(B102="SELL",Q102*F102,0)</f>
        <v/>
      </c>
      <c r="S102" s="24">
        <f>S101+R102</f>
        <v/>
      </c>
    </row>
    <row r="103" ht="15.75" customHeight="1" s="94">
      <c r="A103" s="46" t="n">
        <v>102</v>
      </c>
      <c r="B103" s="47" t="inlineStr">
        <is>
          <t>SELL</t>
        </is>
      </c>
      <c r="C103" s="48" t="n">
        <v>46098</v>
      </c>
      <c r="D103" s="49" t="n">
        <v>15038</v>
      </c>
      <c r="E103" s="50" t="n">
        <v>914</v>
      </c>
      <c r="F103" s="50" t="n">
        <v>914</v>
      </c>
      <c r="G103" s="51" t="n">
        <v>-15.57</v>
      </c>
      <c r="H103" s="51" t="n">
        <v>-0.06</v>
      </c>
      <c r="I103" s="30" t="n">
        <v>2326.26</v>
      </c>
      <c r="J103" s="51" t="n">
        <v>642</v>
      </c>
      <c r="K103" s="52">
        <f>IF(AND(B103="SELL",E103&gt;0,J103&lt;&gt;""),J103/E103,0)</f>
        <v/>
      </c>
      <c r="L103" s="52" t="n">
        <v>0.665</v>
      </c>
      <c r="M103" s="50">
        <f>IF(AND(B103="SELL",L103&gt;0),D103*L103,0)</f>
        <v/>
      </c>
      <c r="N103" s="46" t="n"/>
      <c r="O103" s="53">
        <f>IF(AND(B103="SELL",G103&lt;&gt;0),Q103/ABS(G103),0)</f>
        <v/>
      </c>
      <c r="P103" s="53">
        <f>IF(AND(B103="SELL",D103&gt;0),R103/D103,0)</f>
        <v/>
      </c>
      <c r="Q103" s="54">
        <f>IF(AND(B103="SELL",D103&gt;0,E103&gt;0),(D103/E103)+G103,0)</f>
        <v/>
      </c>
      <c r="R103" s="55">
        <f>IF(B103="SELL",Q103*F103,0)</f>
        <v/>
      </c>
      <c r="S103" s="35">
        <f>S102+R103</f>
        <v/>
      </c>
    </row>
    <row r="104" ht="15.75" customHeight="1" s="94">
      <c r="A104" s="36" t="n">
        <v>103</v>
      </c>
      <c r="B104" s="37" t="inlineStr">
        <is>
          <t>SELL</t>
        </is>
      </c>
      <c r="C104" s="38" t="n">
        <v>46098</v>
      </c>
      <c r="D104" s="39" t="n">
        <v>40000</v>
      </c>
      <c r="E104" s="40" t="n">
        <v>914</v>
      </c>
      <c r="F104" s="40" t="n">
        <v>914</v>
      </c>
      <c r="G104" s="41" t="n">
        <v>-40.93</v>
      </c>
      <c r="H104" s="41" t="n">
        <v>-0.06</v>
      </c>
      <c r="I104" s="19" t="n">
        <v>2285.27</v>
      </c>
      <c r="J104" s="41" t="n">
        <v>649.87</v>
      </c>
      <c r="K104" s="42">
        <f>IF(AND(B104="SELL",E104&gt;0,J104&lt;&gt;""),J104/E104,0)</f>
        <v/>
      </c>
      <c r="L104" s="42" t="n">
        <v>0.665</v>
      </c>
      <c r="M104" s="40">
        <f>IF(AND(B104="SELL",L104&gt;0),D104*L104,0)</f>
        <v/>
      </c>
      <c r="N104" s="36" t="n"/>
      <c r="O104" s="43">
        <f>IF(AND(B104="SELL",G104&lt;&gt;0),Q104/ABS(G104),0)</f>
        <v/>
      </c>
      <c r="P104" s="43">
        <f>IF(AND(B104="SELL",D104&gt;0),R104/D104,0)</f>
        <v/>
      </c>
      <c r="Q104" s="44">
        <f>IF(AND(B104="SELL",D104&gt;0,E104&gt;0),(D104/E104)+G104,0)</f>
        <v/>
      </c>
      <c r="R104" s="45">
        <f>IF(B104="SELL",Q104*F104,0)</f>
        <v/>
      </c>
      <c r="S104" s="24">
        <f>S103+R104</f>
        <v/>
      </c>
    </row>
    <row r="105" ht="15.75" customHeight="1" s="94">
      <c r="A105" s="46" t="n">
        <v>104</v>
      </c>
      <c r="B105" s="47" t="inlineStr">
        <is>
          <t>SELL</t>
        </is>
      </c>
      <c r="C105" s="48" t="n">
        <v>46098</v>
      </c>
      <c r="D105" s="49" t="n">
        <v>20000</v>
      </c>
      <c r="E105" s="50" t="n">
        <v>914</v>
      </c>
      <c r="F105" s="50" t="n">
        <v>914</v>
      </c>
      <c r="G105" s="51" t="n">
        <v>-20.43</v>
      </c>
      <c r="H105" s="51" t="n">
        <v>-0.06</v>
      </c>
      <c r="I105" s="30" t="n">
        <v>2264.78</v>
      </c>
      <c r="J105" s="51" t="n">
        <v>651.002</v>
      </c>
      <c r="K105" s="52">
        <f>IF(AND(B105="SELL",E105&gt;0,J105&lt;&gt;""),J105/E105,0)</f>
        <v/>
      </c>
      <c r="L105" s="52" t="n">
        <v>0.665</v>
      </c>
      <c r="M105" s="50">
        <f>IF(AND(B105="SELL",L105&gt;0),D105*L105,0)</f>
        <v/>
      </c>
      <c r="N105" s="46" t="n"/>
      <c r="O105" s="53">
        <f>IF(AND(B105="SELL",G105&lt;&gt;0),Q105/ABS(G105),0)</f>
        <v/>
      </c>
      <c r="P105" s="53">
        <f>IF(AND(B105="SELL",D105&gt;0),R105/D105,0)</f>
        <v/>
      </c>
      <c r="Q105" s="54">
        <f>IF(AND(B105="SELL",D105&gt;0,E105&gt;0),(D105/E105)+G105,0)</f>
        <v/>
      </c>
      <c r="R105" s="55">
        <f>IF(B105="SELL",Q105*F105,0)</f>
        <v/>
      </c>
      <c r="S105" s="35">
        <f>S104+R105</f>
        <v/>
      </c>
    </row>
    <row r="106" ht="15.75" customHeight="1" s="94">
      <c r="A106" s="36" t="n">
        <v>105</v>
      </c>
      <c r="B106" s="37" t="inlineStr">
        <is>
          <t>SELL</t>
        </is>
      </c>
      <c r="C106" s="38" t="n">
        <v>46098</v>
      </c>
      <c r="D106" s="39" t="n">
        <v>30000</v>
      </c>
      <c r="E106" s="40" t="n">
        <v>914</v>
      </c>
      <c r="F106" s="40" t="n">
        <v>914</v>
      </c>
      <c r="G106" s="41" t="n">
        <v>-30.17</v>
      </c>
      <c r="H106" s="41" t="n">
        <v>-0.06</v>
      </c>
      <c r="I106" s="19" t="n">
        <v>2234.55</v>
      </c>
      <c r="J106" s="41" t="n">
        <v>661.24</v>
      </c>
      <c r="K106" s="42">
        <f>IF(AND(B106="SELL",E106&gt;0,J106&lt;&gt;""),J106/E106,0)</f>
        <v/>
      </c>
      <c r="L106" s="42" t="n">
        <v>0.665</v>
      </c>
      <c r="M106" s="40">
        <f>IF(AND(B106="SELL",L106&gt;0),D106*L106,0)</f>
        <v/>
      </c>
      <c r="N106" s="36" t="n"/>
      <c r="O106" s="43">
        <f>IF(AND(B106="SELL",G106&lt;&gt;0),Q106/ABS(G106),0)</f>
        <v/>
      </c>
      <c r="P106" s="43">
        <f>IF(AND(B106="SELL",D106&gt;0),R106/D106,0)</f>
        <v/>
      </c>
      <c r="Q106" s="44">
        <f>IF(AND(B106="SELL",D106&gt;0,E106&gt;0),(D106/E106)+G106,0)</f>
        <v/>
      </c>
      <c r="R106" s="45">
        <f>IF(B106="SELL",Q106*F106,0)</f>
        <v/>
      </c>
      <c r="S106" s="24">
        <f>S105+R106</f>
        <v/>
      </c>
    </row>
    <row r="107" ht="15.75" customHeight="1" s="94">
      <c r="A107" s="46" t="n">
        <v>106</v>
      </c>
      <c r="B107" s="47" t="inlineStr">
        <is>
          <t>SELL</t>
        </is>
      </c>
      <c r="C107" s="48" t="n">
        <v>46098</v>
      </c>
      <c r="D107" s="49" t="n">
        <v>50000</v>
      </c>
      <c r="E107" s="50" t="n">
        <v>914</v>
      </c>
      <c r="F107" s="50" t="n">
        <v>914</v>
      </c>
      <c r="G107" s="51" t="n">
        <v>-50.25</v>
      </c>
      <c r="H107" s="51" t="n">
        <v>-0.06</v>
      </c>
      <c r="I107" s="30" t="n">
        <v>2184.24</v>
      </c>
      <c r="J107" s="51" t="n">
        <v>661.602</v>
      </c>
      <c r="K107" s="52">
        <f>IF(AND(B107="SELL",E107&gt;0,J107&lt;&gt;""),J107/E107,0)</f>
        <v/>
      </c>
      <c r="L107" s="52" t="n">
        <v>0.665</v>
      </c>
      <c r="M107" s="50">
        <f>IF(AND(B107="SELL",L107&gt;0),D107*L107,0)</f>
        <v/>
      </c>
      <c r="N107" s="46" t="n"/>
      <c r="O107" s="53">
        <f>IF(AND(B107="SELL",G107&lt;&gt;0),Q107/ABS(G107),0)</f>
        <v/>
      </c>
      <c r="P107" s="53">
        <f>IF(AND(B107="SELL",D107&gt;0),R107/D107,0)</f>
        <v/>
      </c>
      <c r="Q107" s="54">
        <f>IF(AND(B107="SELL",D107&gt;0,E107&gt;0),(D107/E107)+G107,0)</f>
        <v/>
      </c>
      <c r="R107" s="55">
        <f>IF(B107="SELL",Q107*F107,0)</f>
        <v/>
      </c>
      <c r="S107" s="35">
        <f>S106+R107</f>
        <v/>
      </c>
    </row>
    <row r="108" ht="15.75" customHeight="1" s="94">
      <c r="A108" s="36" t="n">
        <v>107</v>
      </c>
      <c r="B108" s="37" t="inlineStr">
        <is>
          <t>SELL</t>
        </is>
      </c>
      <c r="C108" s="38" t="n">
        <v>46098</v>
      </c>
      <c r="D108" s="39" t="n">
        <v>15000</v>
      </c>
      <c r="E108" s="40" t="n">
        <v>914</v>
      </c>
      <c r="F108" s="40" t="n">
        <v>914</v>
      </c>
      <c r="G108" s="41" t="n">
        <v>-15.09</v>
      </c>
      <c r="H108" s="41" t="n">
        <v>-0.06</v>
      </c>
      <c r="I108" s="19" t="n">
        <v>2169.09</v>
      </c>
      <c r="J108" s="41" t="n">
        <v>660.9</v>
      </c>
      <c r="K108" s="42">
        <f>IF(AND(B108="SELL",E108&gt;0,J108&lt;&gt;""),J108/E108,0)</f>
        <v/>
      </c>
      <c r="L108" s="42" t="n">
        <v>0.665</v>
      </c>
      <c r="M108" s="40">
        <f>IF(AND(B108="SELL",L108&gt;0),D108*L108,0)</f>
        <v/>
      </c>
      <c r="N108" s="36" t="n"/>
      <c r="O108" s="43">
        <f>IF(AND(B108="SELL",G108&lt;&gt;0),Q108/ABS(G108),0)</f>
        <v/>
      </c>
      <c r="P108" s="43">
        <f>IF(AND(B108="SELL",D108&gt;0),R108/D108,0)</f>
        <v/>
      </c>
      <c r="Q108" s="44">
        <f>IF(AND(B108="SELL",D108&gt;0,E108&gt;0),(D108/E108)+G108,0)</f>
        <v/>
      </c>
      <c r="R108" s="45">
        <f>IF(B108="SELL",Q108*F108,0)</f>
        <v/>
      </c>
      <c r="S108" s="24">
        <f>S107+R108</f>
        <v/>
      </c>
    </row>
    <row r="109" ht="15.75" customHeight="1" s="94">
      <c r="A109" s="46" t="n">
        <v>108</v>
      </c>
      <c r="B109" s="47" t="inlineStr">
        <is>
          <t>SELL</t>
        </is>
      </c>
      <c r="C109" s="48" t="n">
        <v>46098</v>
      </c>
      <c r="D109" s="49" t="n">
        <v>30000</v>
      </c>
      <c r="E109" s="50" t="n">
        <v>914</v>
      </c>
      <c r="F109" s="50" t="n">
        <v>914</v>
      </c>
      <c r="G109" s="51" t="n">
        <v>-30.09</v>
      </c>
      <c r="H109" s="51" t="n">
        <v>-0.06</v>
      </c>
      <c r="I109" s="30" t="n">
        <v>2138.94</v>
      </c>
      <c r="J109" s="51" t="n">
        <v>663</v>
      </c>
      <c r="K109" s="52">
        <f>IF(AND(B109="SELL",E109&gt;0,J109&lt;&gt;""),J109/E109,0)</f>
        <v/>
      </c>
      <c r="L109" s="52" t="n">
        <v>0.665</v>
      </c>
      <c r="M109" s="50">
        <f>IF(AND(B109="SELL",L109&gt;0),D109*L109,0)</f>
        <v/>
      </c>
      <c r="N109" s="46" t="n"/>
      <c r="O109" s="53">
        <f>IF(AND(B109="SELL",G109&lt;&gt;0),Q109/ABS(G109),0)</f>
        <v/>
      </c>
      <c r="P109" s="53">
        <f>IF(AND(B109="SELL",D109&gt;0),R109/D109,0)</f>
        <v/>
      </c>
      <c r="Q109" s="54">
        <f>IF(AND(B109="SELL",D109&gt;0,E109&gt;0),(D109/E109)+G109,0)</f>
        <v/>
      </c>
      <c r="R109" s="55">
        <f>IF(B109="SELL",Q109*F109,0)</f>
        <v/>
      </c>
      <c r="S109" s="35">
        <f>S108+R109</f>
        <v/>
      </c>
    </row>
    <row r="110" ht="15.75" customHeight="1" s="94">
      <c r="A110" s="36" t="n">
        <v>109</v>
      </c>
      <c r="B110" s="37" t="inlineStr">
        <is>
          <t>SELL</t>
        </is>
      </c>
      <c r="C110" s="38" t="n">
        <v>46099</v>
      </c>
      <c r="D110" s="39" t="n">
        <v>50000</v>
      </c>
      <c r="E110" s="40" t="n">
        <v>914</v>
      </c>
      <c r="F110" s="40" t="n">
        <v>914</v>
      </c>
      <c r="G110" s="41" t="n">
        <v>-51.59</v>
      </c>
      <c r="H110" s="41" t="n">
        <v>-0.06</v>
      </c>
      <c r="I110" s="19" t="n">
        <v>2087.29</v>
      </c>
      <c r="J110" s="41" t="n">
        <v>659</v>
      </c>
      <c r="K110" s="42">
        <f>IF(AND(B110="SELL",E110&gt;0,J110&lt;&gt;""),J110/E110,0)</f>
        <v/>
      </c>
      <c r="L110" s="42" t="n">
        <v>0.68</v>
      </c>
      <c r="M110" s="40">
        <f>IF(AND(B110="SELL",L110&gt;0),D110*L110,0)</f>
        <v/>
      </c>
      <c r="N110" s="36" t="n"/>
      <c r="O110" s="43">
        <f>IF(AND(B110="SELL",G110&lt;&gt;0),Q110/ABS(G110),0)</f>
        <v/>
      </c>
      <c r="P110" s="43">
        <f>IF(AND(B110="SELL",D110&gt;0),R110/D110,0)</f>
        <v/>
      </c>
      <c r="Q110" s="44">
        <f>IF(AND(B110="SELL",D110&gt;0,E110&gt;0),(D110/E110)+G110,0)</f>
        <v/>
      </c>
      <c r="R110" s="45">
        <f>IF(B110="SELL",Q110*F110,0)</f>
        <v/>
      </c>
      <c r="S110" s="24">
        <f>S109+R110</f>
        <v/>
      </c>
    </row>
    <row r="111" ht="15.75" customHeight="1" s="94">
      <c r="A111" s="46" t="n">
        <v>110</v>
      </c>
      <c r="B111" s="47" t="inlineStr">
        <is>
          <t>SELL</t>
        </is>
      </c>
      <c r="C111" s="48" t="n">
        <v>46099</v>
      </c>
      <c r="D111" s="49" t="n">
        <v>50000</v>
      </c>
      <c r="E111" s="50" t="n">
        <v>914</v>
      </c>
      <c r="F111" s="50" t="n">
        <v>914</v>
      </c>
      <c r="G111" s="51" t="n">
        <v>-51.42</v>
      </c>
      <c r="H111" s="51" t="n">
        <v>-0.06</v>
      </c>
      <c r="I111" s="30" t="n">
        <v>2035.81</v>
      </c>
      <c r="J111" s="51" t="n">
        <v>661.099</v>
      </c>
      <c r="K111" s="52">
        <f>IF(AND(B111="SELL",E111&gt;0,J111&lt;&gt;""),J111/E111,0)</f>
        <v/>
      </c>
      <c r="L111" s="52" t="n">
        <v>0.68</v>
      </c>
      <c r="M111" s="50">
        <f>IF(AND(B111="SELL",L111&gt;0),D111*L111,0)</f>
        <v/>
      </c>
      <c r="N111" s="46" t="n"/>
      <c r="O111" s="53">
        <f>IF(AND(B111="SELL",G111&lt;&gt;0),Q111/ABS(G111),0)</f>
        <v/>
      </c>
      <c r="P111" s="53">
        <f>IF(AND(B111="SELL",D111&gt;0),R111/D111,0)</f>
        <v/>
      </c>
      <c r="Q111" s="54">
        <f>IF(AND(B111="SELL",D111&gt;0,E111&gt;0),(D111/E111)+G111,0)</f>
        <v/>
      </c>
      <c r="R111" s="55">
        <f>IF(B111="SELL",Q111*F111,0)</f>
        <v/>
      </c>
      <c r="S111" s="35">
        <f>S110+R111</f>
        <v/>
      </c>
    </row>
    <row r="112" ht="15.75" customHeight="1" s="94">
      <c r="A112" s="36" t="n">
        <v>111</v>
      </c>
      <c r="B112" s="37" t="inlineStr">
        <is>
          <t>SELL</t>
        </is>
      </c>
      <c r="C112" s="38" t="n">
        <v>46099</v>
      </c>
      <c r="D112" s="39" t="n">
        <v>35000</v>
      </c>
      <c r="E112" s="40" t="n">
        <v>914</v>
      </c>
      <c r="F112" s="40" t="n">
        <v>914</v>
      </c>
      <c r="G112" s="41" t="n">
        <v>-35.83</v>
      </c>
      <c r="H112" s="41" t="n">
        <v>-0.06</v>
      </c>
      <c r="I112" s="19" t="n">
        <v>1999.92</v>
      </c>
      <c r="J112" s="41" t="n">
        <v>664.205</v>
      </c>
      <c r="K112" s="42">
        <f>IF(AND(B112="SELL",E112&gt;0,J112&lt;&gt;""),J112/E112,0)</f>
        <v/>
      </c>
      <c r="L112" s="42" t="n">
        <v>0.68</v>
      </c>
      <c r="M112" s="40">
        <f>IF(AND(B112="SELL",L112&gt;0),D112*L112,0)</f>
        <v/>
      </c>
      <c r="N112" s="36" t="n"/>
      <c r="O112" s="43">
        <f>IF(AND(B112="SELL",G112&lt;&gt;0),Q112/ABS(G112),0)</f>
        <v/>
      </c>
      <c r="P112" s="43">
        <f>IF(AND(B112="SELL",D112&gt;0),R112/D112,0)</f>
        <v/>
      </c>
      <c r="Q112" s="44">
        <f>IF(AND(B112="SELL",D112&gt;0,E112&gt;0),(D112/E112)+G112,0)</f>
        <v/>
      </c>
      <c r="R112" s="45">
        <f>IF(B112="SELL",Q112*F112,0)</f>
        <v/>
      </c>
      <c r="S112" s="24">
        <f>S111+R112</f>
        <v/>
      </c>
    </row>
    <row r="113" ht="15.75" customHeight="1" s="94">
      <c r="A113" s="46" t="n">
        <v>112</v>
      </c>
      <c r="B113" s="47" t="inlineStr">
        <is>
          <t>SELL</t>
        </is>
      </c>
      <c r="C113" s="48" t="n">
        <v>46099</v>
      </c>
      <c r="D113" s="49" t="n">
        <v>20000</v>
      </c>
      <c r="E113" s="50" t="n">
        <v>914</v>
      </c>
      <c r="F113" s="50" t="n">
        <v>914</v>
      </c>
      <c r="G113" s="51" t="n">
        <v>-20.49</v>
      </c>
      <c r="H113" s="51" t="n">
        <v>-0.06</v>
      </c>
      <c r="I113" s="30" t="n">
        <v>1979.37</v>
      </c>
      <c r="J113" s="51" t="n">
        <v>663.5</v>
      </c>
      <c r="K113" s="52">
        <f>IF(AND(B113="SELL",E113&gt;0,J113&lt;&gt;""),J113/E113,0)</f>
        <v/>
      </c>
      <c r="L113" s="52" t="n">
        <v>0.68</v>
      </c>
      <c r="M113" s="50">
        <f>IF(AND(B113="SELL",L113&gt;0),D113*L113,0)</f>
        <v/>
      </c>
      <c r="N113" s="46" t="n"/>
      <c r="O113" s="53">
        <f>IF(AND(B113="SELL",G113&lt;&gt;0),Q113/ABS(G113),0)</f>
        <v/>
      </c>
      <c r="P113" s="53">
        <f>IF(AND(B113="SELL",D113&gt;0),R113/D113,0)</f>
        <v/>
      </c>
      <c r="Q113" s="54">
        <f>IF(AND(B113="SELL",D113&gt;0,E113&gt;0),(D113/E113)+G113,0)</f>
        <v/>
      </c>
      <c r="R113" s="55">
        <f>IF(B113="SELL",Q113*F113,0)</f>
        <v/>
      </c>
      <c r="S113" s="35">
        <f>S112+R113</f>
        <v/>
      </c>
    </row>
    <row r="114" ht="15.75" customHeight="1" s="94">
      <c r="A114" s="36" t="n">
        <v>113</v>
      </c>
      <c r="B114" s="37" t="inlineStr">
        <is>
          <t>SELL</t>
        </is>
      </c>
      <c r="C114" s="38" t="n">
        <v>46100</v>
      </c>
      <c r="D114" s="39" t="n">
        <v>30000</v>
      </c>
      <c r="E114" s="40" t="n">
        <v>914</v>
      </c>
      <c r="F114" s="40" t="n">
        <v>914</v>
      </c>
      <c r="G114" s="41" t="n">
        <v>-31.16</v>
      </c>
      <c r="H114" s="41" t="n">
        <v>-0.06</v>
      </c>
      <c r="I114" s="19" t="n">
        <v>1948.15</v>
      </c>
      <c r="J114" s="41" t="n">
        <v>655.634</v>
      </c>
      <c r="K114" s="42">
        <f>IF(AND(B114="SELL",E114&gt;0,J114&lt;&gt;""),J114/E114,0)</f>
        <v/>
      </c>
      <c r="L114" s="42" t="n">
        <v>0.681</v>
      </c>
      <c r="M114" s="40">
        <f>IF(AND(B114="SELL",L114&gt;0),D114*L114,0)</f>
        <v/>
      </c>
      <c r="N114" s="36" t="n"/>
      <c r="O114" s="43">
        <f>IF(AND(B114="SELL",G114&lt;&gt;0),Q114/ABS(G114),0)</f>
        <v/>
      </c>
      <c r="P114" s="43">
        <f>IF(AND(B114="SELL",D114&gt;0),R114/D114,0)</f>
        <v/>
      </c>
      <c r="Q114" s="44">
        <f>IF(AND(B114="SELL",D114&gt;0,E114&gt;0),(D114/E114)+G114,0)</f>
        <v/>
      </c>
      <c r="R114" s="45">
        <f>IF(B114="SELL",Q114*F114,0)</f>
        <v/>
      </c>
      <c r="S114" s="24">
        <f>S113+R114</f>
        <v/>
      </c>
    </row>
    <row r="115" ht="15.75" customHeight="1" s="94">
      <c r="A115" s="46" t="n">
        <v>114</v>
      </c>
      <c r="B115" s="47" t="inlineStr">
        <is>
          <t>SELL</t>
        </is>
      </c>
      <c r="C115" s="48" t="n">
        <v>46100</v>
      </c>
      <c r="D115" s="49" t="n">
        <v>18500</v>
      </c>
      <c r="E115" s="50" t="n">
        <v>914</v>
      </c>
      <c r="F115" s="50" t="n">
        <v>914</v>
      </c>
      <c r="G115" s="51" t="n">
        <v>-19.14</v>
      </c>
      <c r="H115" s="51" t="n">
        <v>-0.06</v>
      </c>
      <c r="I115" s="30" t="n">
        <v>1928.95</v>
      </c>
      <c r="J115" s="51" t="n">
        <v>658.2</v>
      </c>
      <c r="K115" s="52">
        <f>IF(AND(B115="SELL",E115&gt;0,J115&lt;&gt;""),J115/E115,0)</f>
        <v/>
      </c>
      <c r="L115" s="52" t="n">
        <v>0.681</v>
      </c>
      <c r="M115" s="50">
        <f>IF(AND(B115="SELL",L115&gt;0),D115*L115,0)</f>
        <v/>
      </c>
      <c r="N115" s="46" t="n"/>
      <c r="O115" s="53">
        <f>IF(AND(B115="SELL",G115&lt;&gt;0),Q115/ABS(G115),0)</f>
        <v/>
      </c>
      <c r="P115" s="53">
        <f>IF(AND(B115="SELL",D115&gt;0),R115/D115,0)</f>
        <v/>
      </c>
      <c r="Q115" s="54">
        <f>IF(AND(B115="SELL",D115&gt;0,E115&gt;0),(D115/E115)+G115,0)</f>
        <v/>
      </c>
      <c r="R115" s="55">
        <f>IF(B115="SELL",Q115*F115,0)</f>
        <v/>
      </c>
      <c r="S115" s="35">
        <f>S114+R115</f>
        <v/>
      </c>
    </row>
    <row r="116" ht="15.75" customHeight="1" s="94">
      <c r="A116" s="36" t="n">
        <v>115</v>
      </c>
      <c r="B116" s="37" t="inlineStr">
        <is>
          <t>SELL</t>
        </is>
      </c>
      <c r="C116" s="38" t="n">
        <v>46100</v>
      </c>
      <c r="D116" s="39" t="n">
        <v>60000</v>
      </c>
      <c r="E116" s="40" t="n">
        <v>914</v>
      </c>
      <c r="F116" s="40" t="n">
        <v>914</v>
      </c>
      <c r="G116" s="41" t="n">
        <v>-61.82</v>
      </c>
      <c r="H116" s="41" t="n">
        <v>-0.06</v>
      </c>
      <c r="I116" s="19" t="n">
        <v>1867.07</v>
      </c>
      <c r="J116" s="41" t="n">
        <v>660.9</v>
      </c>
      <c r="K116" s="42">
        <f>IF(AND(B116="SELL",E116&gt;0,J116&lt;&gt;""),J116/E116,0)</f>
        <v/>
      </c>
      <c r="L116" s="42" t="n">
        <v>0.681</v>
      </c>
      <c r="M116" s="40">
        <f>IF(AND(B116="SELL",L116&gt;0),D116*L116,0)</f>
        <v/>
      </c>
      <c r="N116" s="36" t="n"/>
      <c r="O116" s="43">
        <f>IF(AND(B116="SELL",G116&lt;&gt;0),Q116/ABS(G116),0)</f>
        <v/>
      </c>
      <c r="P116" s="43">
        <f>IF(AND(B116="SELL",D116&gt;0),R116/D116,0)</f>
        <v/>
      </c>
      <c r="Q116" s="44">
        <f>IF(AND(B116="SELL",D116&gt;0,E116&gt;0),(D116/E116)+G116,0)</f>
        <v/>
      </c>
      <c r="R116" s="45">
        <f>IF(B116="SELL",Q116*F116,0)</f>
        <v/>
      </c>
      <c r="S116" s="24">
        <f>S115+R116</f>
        <v/>
      </c>
    </row>
    <row r="117" ht="15.75" customHeight="1" s="94">
      <c r="A117" s="46" t="n">
        <v>116</v>
      </c>
      <c r="B117" s="47" t="inlineStr">
        <is>
          <t>SELL</t>
        </is>
      </c>
      <c r="C117" s="48" t="n">
        <v>46100</v>
      </c>
      <c r="D117" s="49" t="n">
        <v>45000</v>
      </c>
      <c r="E117" s="50" t="n">
        <v>914</v>
      </c>
      <c r="F117" s="50" t="n">
        <v>914</v>
      </c>
      <c r="G117" s="51" t="n">
        <v>-46.57</v>
      </c>
      <c r="H117" s="51" t="n">
        <v>-0.06</v>
      </c>
      <c r="I117" s="30" t="n">
        <v>1820.44</v>
      </c>
      <c r="J117" s="51" t="n">
        <v>657.91</v>
      </c>
      <c r="K117" s="52">
        <f>IF(AND(B117="SELL",E117&gt;0,J117&lt;&gt;""),J117/E117,0)</f>
        <v/>
      </c>
      <c r="L117" s="52" t="n">
        <v>0.681</v>
      </c>
      <c r="M117" s="50">
        <f>IF(AND(B117="SELL",L117&gt;0),D117*L117,0)</f>
        <v/>
      </c>
      <c r="N117" s="46" t="n"/>
      <c r="O117" s="53">
        <f>IF(AND(B117="SELL",G117&lt;&gt;0),Q117/ABS(G117),0)</f>
        <v/>
      </c>
      <c r="P117" s="53">
        <f>IF(AND(B117="SELL",D117&gt;0),R117/D117,0)</f>
        <v/>
      </c>
      <c r="Q117" s="54">
        <f>IF(AND(B117="SELL",D117&gt;0,E117&gt;0),(D117/E117)+G117,0)</f>
        <v/>
      </c>
      <c r="R117" s="55">
        <f>IF(B117="SELL",Q117*F117,0)</f>
        <v/>
      </c>
      <c r="S117" s="35">
        <f>S116+R117</f>
        <v/>
      </c>
    </row>
    <row r="118" ht="15.75" customHeight="1" s="94">
      <c r="A118" s="36" t="n">
        <v>117</v>
      </c>
      <c r="B118" s="37" t="inlineStr">
        <is>
          <t>SELL</t>
        </is>
      </c>
      <c r="C118" s="38" t="n">
        <v>46100</v>
      </c>
      <c r="D118" s="39" t="n">
        <v>20900</v>
      </c>
      <c r="E118" s="40" t="n">
        <v>914</v>
      </c>
      <c r="F118" s="40" t="n">
        <v>914</v>
      </c>
      <c r="G118" s="41" t="n">
        <v>-21.62</v>
      </c>
      <c r="H118" s="41" t="n">
        <v>-0.06</v>
      </c>
      <c r="I118" s="19" t="n">
        <v>1798.76</v>
      </c>
      <c r="J118" s="41" t="n">
        <v>657.99</v>
      </c>
      <c r="K118" s="42">
        <f>IF(AND(B118="SELL",E118&gt;0,J118&lt;&gt;""),J118/E118,0)</f>
        <v/>
      </c>
      <c r="L118" s="42" t="n">
        <v>0.681</v>
      </c>
      <c r="M118" s="40">
        <f>IF(AND(B118="SELL",L118&gt;0),D118*L118,0)</f>
        <v/>
      </c>
      <c r="N118" s="36" t="n"/>
      <c r="O118" s="43">
        <f>IF(AND(B118="SELL",G118&lt;&gt;0),Q118/ABS(G118),0)</f>
        <v/>
      </c>
      <c r="P118" s="43">
        <f>IF(AND(B118="SELL",D118&gt;0),R118/D118,0)</f>
        <v/>
      </c>
      <c r="Q118" s="44">
        <f>IF(AND(B118="SELL",D118&gt;0,E118&gt;0),(D118/E118)+G118,0)</f>
        <v/>
      </c>
      <c r="R118" s="45">
        <f>IF(B118="SELL",Q118*F118,0)</f>
        <v/>
      </c>
      <c r="S118" s="24">
        <f>S117+R118</f>
        <v/>
      </c>
    </row>
    <row r="119" ht="15.75" customHeight="1" s="94">
      <c r="A119" s="46" t="n">
        <v>118</v>
      </c>
      <c r="B119" s="47" t="inlineStr">
        <is>
          <t>SELL</t>
        </is>
      </c>
      <c r="C119" s="48" t="n">
        <v>46100</v>
      </c>
      <c r="D119" s="49" t="n">
        <v>20000</v>
      </c>
      <c r="E119" s="50" t="n">
        <v>914</v>
      </c>
      <c r="F119" s="50" t="n">
        <v>914</v>
      </c>
      <c r="G119" s="51" t="n">
        <v>-20.7</v>
      </c>
      <c r="H119" s="51" t="n">
        <v>-0.06</v>
      </c>
      <c r="I119" s="30" t="n">
        <v>1778</v>
      </c>
      <c r="J119" s="51" t="n">
        <v>657.91</v>
      </c>
      <c r="K119" s="52">
        <f>IF(AND(B119="SELL",E119&gt;0,J119&lt;&gt;""),J119/E119,0)</f>
        <v/>
      </c>
      <c r="L119" s="52" t="n">
        <v>0.681</v>
      </c>
      <c r="M119" s="50">
        <f>IF(AND(B119="SELL",L119&gt;0),D119*L119,0)</f>
        <v/>
      </c>
      <c r="N119" s="46" t="n"/>
      <c r="O119" s="53">
        <f>IF(AND(B119="SELL",G119&lt;&gt;0),Q119/ABS(G119),0)</f>
        <v/>
      </c>
      <c r="P119" s="53">
        <f>IF(AND(B119="SELL",D119&gt;0),R119/D119,0)</f>
        <v/>
      </c>
      <c r="Q119" s="54">
        <f>IF(AND(B119="SELL",D119&gt;0,E119&gt;0),(D119/E119)+G119,0)</f>
        <v/>
      </c>
      <c r="R119" s="55">
        <f>IF(B119="SELL",Q119*F119,0)</f>
        <v/>
      </c>
      <c r="S119" s="35">
        <f>S118+R119</f>
        <v/>
      </c>
    </row>
    <row r="120" ht="15.75" customHeight="1" s="94">
      <c r="A120" s="36" t="n">
        <v>119</v>
      </c>
      <c r="B120" s="37" t="inlineStr">
        <is>
          <t>SELL</t>
        </is>
      </c>
      <c r="C120" s="38" t="n">
        <v>46100</v>
      </c>
      <c r="D120" s="39" t="n">
        <v>105000</v>
      </c>
      <c r="E120" s="40" t="n">
        <v>914</v>
      </c>
      <c r="F120" s="40" t="n">
        <v>914</v>
      </c>
      <c r="G120" s="41" t="n">
        <v>-108.25</v>
      </c>
      <c r="H120" s="41" t="n">
        <v>-0.06</v>
      </c>
      <c r="I120" s="19" t="n">
        <v>1669.69</v>
      </c>
      <c r="J120" s="41" t="n">
        <v>660.51</v>
      </c>
      <c r="K120" s="42">
        <f>IF(AND(B120="SELL",E120&gt;0,J120&lt;&gt;""),J120/E120,0)</f>
        <v/>
      </c>
      <c r="L120" s="42" t="n">
        <v>0.681</v>
      </c>
      <c r="M120" s="40">
        <f>IF(AND(B120="SELL",L120&gt;0),D120*L120,0)</f>
        <v/>
      </c>
      <c r="N120" s="36" t="n"/>
      <c r="O120" s="43">
        <f>IF(AND(B120="SELL",G120&lt;&gt;0),Q120/ABS(G120),0)</f>
        <v/>
      </c>
      <c r="P120" s="43">
        <f>IF(AND(B120="SELL",D120&gt;0),R120/D120,0)</f>
        <v/>
      </c>
      <c r="Q120" s="44">
        <f>IF(AND(B120="SELL",D120&gt;0,E120&gt;0),(D120/E120)+G120,0)</f>
        <v/>
      </c>
      <c r="R120" s="45">
        <f>IF(B120="SELL",Q120*F120,0)</f>
        <v/>
      </c>
      <c r="S120" s="24">
        <f>S119+R120</f>
        <v/>
      </c>
    </row>
    <row r="121" ht="15.75" customHeight="1" s="94">
      <c r="A121" s="46" t="n">
        <v>120</v>
      </c>
      <c r="B121" s="47" t="inlineStr">
        <is>
          <t>SELL</t>
        </is>
      </c>
      <c r="C121" s="48" t="n">
        <v>46101</v>
      </c>
      <c r="D121" s="49" t="n">
        <v>50000</v>
      </c>
      <c r="E121" s="50" t="n">
        <v>914</v>
      </c>
      <c r="F121" s="50" t="n">
        <v>914</v>
      </c>
      <c r="G121" s="51" t="n">
        <v>-52.04</v>
      </c>
      <c r="H121" s="51" t="n">
        <v>-0.06</v>
      </c>
      <c r="I121" s="30" t="n">
        <v>1617.59</v>
      </c>
      <c r="J121" s="51" t="n">
        <v>648.5</v>
      </c>
      <c r="K121" s="52">
        <f>IF(AND(B121="SELL",E121&gt;0,J121&lt;&gt;""),J121/E121,0)</f>
        <v/>
      </c>
      <c r="L121" s="52" t="n">
        <v>0.675</v>
      </c>
      <c r="M121" s="50">
        <f>IF(AND(B121="SELL",L121&gt;0),D121*L121,0)</f>
        <v/>
      </c>
      <c r="N121" s="46" t="n"/>
      <c r="O121" s="53">
        <f>IF(AND(B121="SELL",G121&lt;&gt;0),Q121/ABS(G121),0)</f>
        <v/>
      </c>
      <c r="P121" s="53">
        <f>IF(AND(B121="SELL",D121&gt;0),R121/D121,0)</f>
        <v/>
      </c>
      <c r="Q121" s="54">
        <f>IF(AND(B121="SELL",D121&gt;0,E121&gt;0),(D121/E121)+G121,0)</f>
        <v/>
      </c>
      <c r="R121" s="55">
        <f>IF(B121="SELL",Q121*F121,0)</f>
        <v/>
      </c>
      <c r="S121" s="35">
        <f>S120+R121</f>
        <v/>
      </c>
    </row>
    <row r="122" ht="15.75" customHeight="1" s="94">
      <c r="A122" s="36" t="n">
        <v>121</v>
      </c>
      <c r="B122" s="37" t="inlineStr">
        <is>
          <t>SELL</t>
        </is>
      </c>
      <c r="C122" s="38" t="n">
        <v>46101</v>
      </c>
      <c r="D122" s="39" t="n">
        <v>5000</v>
      </c>
      <c r="E122" s="40" t="n">
        <v>914</v>
      </c>
      <c r="F122" s="40" t="n">
        <v>914</v>
      </c>
      <c r="G122" s="41" t="n">
        <v>-5.21</v>
      </c>
      <c r="H122" s="41" t="n">
        <v>-0.06</v>
      </c>
      <c r="I122" s="19" t="n">
        <v>1612.32</v>
      </c>
      <c r="J122" s="41" t="n">
        <v>647</v>
      </c>
      <c r="K122" s="42">
        <f>IF(AND(B122="SELL",E122&gt;0,J122&lt;&gt;""),J122/E122,0)</f>
        <v/>
      </c>
      <c r="L122" s="42" t="n">
        <v>0.675</v>
      </c>
      <c r="M122" s="40">
        <f>IF(AND(B122="SELL",L122&gt;0),D122*L122,0)</f>
        <v/>
      </c>
      <c r="N122" s="36" t="n"/>
      <c r="O122" s="43">
        <f>IF(AND(B122="SELL",G122&lt;&gt;0),Q122/ABS(G122),0)</f>
        <v/>
      </c>
      <c r="P122" s="43">
        <f>IF(AND(B122="SELL",D122&gt;0),R122/D122,0)</f>
        <v/>
      </c>
      <c r="Q122" s="44">
        <f>IF(AND(B122="SELL",D122&gt;0,E122&gt;0),(D122/E122)+G122,0)</f>
        <v/>
      </c>
      <c r="R122" s="45">
        <f>IF(B122="SELL",Q122*F122,0)</f>
        <v/>
      </c>
      <c r="S122" s="24">
        <f>S121+R122</f>
        <v/>
      </c>
    </row>
    <row r="123" ht="15.75" customHeight="1" s="94">
      <c r="A123" s="46" t="n">
        <v>122</v>
      </c>
      <c r="B123" s="47" t="inlineStr">
        <is>
          <t>SELL</t>
        </is>
      </c>
      <c r="C123" s="48" t="n">
        <v>46101</v>
      </c>
      <c r="D123" s="49" t="n">
        <v>20000</v>
      </c>
      <c r="E123" s="50" t="n">
        <v>914</v>
      </c>
      <c r="F123" s="50" t="n">
        <v>914</v>
      </c>
      <c r="G123" s="51" t="n">
        <v>-20.68</v>
      </c>
      <c r="H123" s="51" t="n">
        <v>0.06</v>
      </c>
      <c r="I123" s="30" t="n">
        <v>1591.7</v>
      </c>
      <c r="J123" s="51" t="n">
        <v>652.75</v>
      </c>
      <c r="K123" s="52">
        <f>IF(AND(B123="SELL",E123&gt;0,J123&lt;&gt;""),J123/E123,0)</f>
        <v/>
      </c>
      <c r="L123" s="52" t="n">
        <v>0.675</v>
      </c>
      <c r="M123" s="50">
        <f>IF(AND(B123="SELL",L123&gt;0),D123*L123,0)</f>
        <v/>
      </c>
      <c r="N123" s="46" t="n"/>
      <c r="O123" s="53">
        <f>IF(AND(B123="SELL",G123&lt;&gt;0),Q123/ABS(G123),0)</f>
        <v/>
      </c>
      <c r="P123" s="53">
        <f>IF(AND(B123="SELL",D123&gt;0),R123/D123,0)</f>
        <v/>
      </c>
      <c r="Q123" s="54">
        <f>IF(AND(B123="SELL",D123&gt;0,E123&gt;0),(D123/E123)+G123,0)</f>
        <v/>
      </c>
      <c r="R123" s="55">
        <f>IF(B123="SELL",Q123*F123,0)</f>
        <v/>
      </c>
      <c r="S123" s="35">
        <f>S122+R123</f>
        <v/>
      </c>
    </row>
    <row r="124" ht="15.75" customHeight="1" s="94">
      <c r="A124" s="36" t="n">
        <v>123</v>
      </c>
      <c r="B124" s="37" t="inlineStr">
        <is>
          <t>SELL</t>
        </is>
      </c>
      <c r="C124" s="38" t="n">
        <v>46102</v>
      </c>
      <c r="D124" s="39" t="n">
        <v>15000</v>
      </c>
      <c r="E124" s="40" t="n">
        <v>914</v>
      </c>
      <c r="F124" s="40" t="n">
        <v>914</v>
      </c>
      <c r="G124" s="41" t="n">
        <v>-15.62</v>
      </c>
      <c r="H124" s="41" t="n">
        <v>-0.06</v>
      </c>
      <c r="I124" s="19" t="n">
        <v>1576.02</v>
      </c>
      <c r="J124" s="41" t="n">
        <v>652.841</v>
      </c>
      <c r="K124" s="42">
        <f>IF(AND(B124="SELL",E124&gt;0,J124&lt;&gt;""),J124/E124,0)</f>
        <v/>
      </c>
      <c r="L124" s="42" t="n">
        <v>0.67</v>
      </c>
      <c r="M124" s="40">
        <f>IF(AND(B124="SELL",L124&gt;0),D124*L124,0)</f>
        <v/>
      </c>
      <c r="N124" s="36" t="n"/>
      <c r="O124" s="43">
        <f>IF(AND(B124="SELL",G124&lt;&gt;0),Q124/ABS(G124),0)</f>
        <v/>
      </c>
      <c r="P124" s="43">
        <f>IF(AND(B124="SELL",D124&gt;0),R124/D124,0)</f>
        <v/>
      </c>
      <c r="Q124" s="44">
        <f>IF(AND(B124="SELL",D124&gt;0,E124&gt;0),(D124/E124)+G124,0)</f>
        <v/>
      </c>
      <c r="R124" s="45">
        <f>IF(B124="SELL",Q124*F124,0)</f>
        <v/>
      </c>
      <c r="S124" s="24">
        <f>S123+R124</f>
        <v/>
      </c>
    </row>
    <row r="125" ht="15.75" customHeight="1" s="94">
      <c r="A125" s="46" t="n">
        <v>124</v>
      </c>
      <c r="B125" s="47" t="inlineStr">
        <is>
          <t>SELL</t>
        </is>
      </c>
      <c r="C125" s="48" t="n">
        <v>46102</v>
      </c>
      <c r="D125" s="49" t="n">
        <v>75000</v>
      </c>
      <c r="E125" s="50" t="n">
        <v>914</v>
      </c>
      <c r="F125" s="50" t="n">
        <v>914</v>
      </c>
      <c r="G125" s="51" t="n">
        <v>-77.03</v>
      </c>
      <c r="H125" s="51" t="n">
        <v>-0.06</v>
      </c>
      <c r="I125" s="30" t="n">
        <v>1498.93</v>
      </c>
      <c r="J125" s="51" t="n">
        <v>653.7</v>
      </c>
      <c r="K125" s="52">
        <f>IF(AND(B125="SELL",E125&gt;0,J125&lt;&gt;""),J125/E125,0)</f>
        <v/>
      </c>
      <c r="L125" s="52" t="n">
        <v>0.67</v>
      </c>
      <c r="M125" s="50">
        <f>IF(AND(B125="SELL",L125&gt;0),D125*L125,0)</f>
        <v/>
      </c>
      <c r="N125" s="46" t="n"/>
      <c r="O125" s="53">
        <f>IF(AND(B125="SELL",G125&lt;&gt;0),Q125/ABS(G125),0)</f>
        <v/>
      </c>
      <c r="P125" s="53">
        <f>IF(AND(B125="SELL",D125&gt;0),R125/D125,0)</f>
        <v/>
      </c>
      <c r="Q125" s="54">
        <f>IF(AND(B125="SELL",D125&gt;0,E125&gt;0),(D125/E125)+G125,0)</f>
        <v/>
      </c>
      <c r="R125" s="55">
        <f>IF(B125="SELL",Q125*F125,0)</f>
        <v/>
      </c>
      <c r="S125" s="35">
        <f>S124+R125</f>
        <v/>
      </c>
    </row>
    <row r="126" ht="15.75" customHeight="1" s="94">
      <c r="A126" s="36" t="n">
        <v>125</v>
      </c>
      <c r="B126" s="37" t="inlineStr">
        <is>
          <t>SELL</t>
        </is>
      </c>
      <c r="C126" s="38" t="n">
        <v>46102</v>
      </c>
      <c r="D126" s="39" t="n">
        <v>80000</v>
      </c>
      <c r="E126" s="40" t="n">
        <v>914</v>
      </c>
      <c r="F126" s="40" t="n">
        <v>914</v>
      </c>
      <c r="G126" s="41" t="n">
        <v>-82.17</v>
      </c>
      <c r="H126" s="41" t="n">
        <v>-0.06</v>
      </c>
      <c r="I126" s="19" t="n">
        <v>1416.7</v>
      </c>
      <c r="J126" s="41" t="n">
        <v>655.002</v>
      </c>
      <c r="K126" s="42">
        <f>IF(AND(B126="SELL",E126&gt;0,J126&lt;&gt;""),J126/E126,0)</f>
        <v/>
      </c>
      <c r="L126" s="42" t="n">
        <v>0.671</v>
      </c>
      <c r="M126" s="40">
        <f>IF(AND(B126="SELL",L126&gt;0),D126*L126,0)</f>
        <v/>
      </c>
      <c r="N126" s="36" t="n"/>
      <c r="O126" s="43">
        <f>IF(AND(B126="SELL",G126&lt;&gt;0),Q126/ABS(G126),0)</f>
        <v/>
      </c>
      <c r="P126" s="43">
        <f>IF(AND(B126="SELL",D126&gt;0),R126/D126,0)</f>
        <v/>
      </c>
      <c r="Q126" s="44">
        <f>IF(AND(B126="SELL",D126&gt;0,E126&gt;0),(D126/E126)+G126,0)</f>
        <v/>
      </c>
      <c r="R126" s="45">
        <f>IF(B126="SELL",Q126*F126,0)</f>
        <v/>
      </c>
      <c r="S126" s="24">
        <f>S125+R126</f>
        <v/>
      </c>
    </row>
    <row r="127" ht="15.75" customHeight="1" s="94">
      <c r="A127" s="46" t="n">
        <v>126</v>
      </c>
      <c r="B127" s="47" t="inlineStr">
        <is>
          <t>SELL</t>
        </is>
      </c>
      <c r="C127" s="48" t="n">
        <v>46102</v>
      </c>
      <c r="D127" s="49" t="n">
        <v>75000</v>
      </c>
      <c r="E127" s="50" t="n">
        <v>914</v>
      </c>
      <c r="F127" s="50" t="n">
        <v>914</v>
      </c>
      <c r="G127" s="51" t="n">
        <v>-76.89</v>
      </c>
      <c r="H127" s="51" t="n">
        <v>-0.06</v>
      </c>
      <c r="I127" s="30" t="n">
        <v>1339.75</v>
      </c>
      <c r="J127" s="51" t="n">
        <v>653.325</v>
      </c>
      <c r="K127" s="52">
        <f>IF(AND(B127="SELL",E127&gt;0,J127&lt;&gt;""),J127/E127,0)</f>
        <v/>
      </c>
      <c r="L127" s="52" t="n">
        <v>0.671</v>
      </c>
      <c r="M127" s="50">
        <f>IF(AND(B127="SELL",L127&gt;0),D127*L127,0)</f>
        <v/>
      </c>
      <c r="N127" s="46" t="n"/>
      <c r="O127" s="53">
        <f>IF(AND(B127="SELL",G127&lt;&gt;0),Q127/ABS(G127),0)</f>
        <v/>
      </c>
      <c r="P127" s="53">
        <f>IF(AND(B127="SELL",D127&gt;0),R127/D127,0)</f>
        <v/>
      </c>
      <c r="Q127" s="54">
        <f>IF(AND(B127="SELL",D127&gt;0,E127&gt;0),(D127/E127)+G127,0)</f>
        <v/>
      </c>
      <c r="R127" s="55">
        <f>IF(B127="SELL",Q127*F127,0)</f>
        <v/>
      </c>
      <c r="S127" s="35">
        <f>S126+R127</f>
        <v/>
      </c>
    </row>
    <row r="128" ht="15.75" customHeight="1" s="94">
      <c r="A128" s="36" t="n">
        <v>127</v>
      </c>
      <c r="B128" s="37" t="inlineStr">
        <is>
          <t>SELL</t>
        </is>
      </c>
      <c r="C128" s="38" t="n">
        <v>46102</v>
      </c>
      <c r="D128" s="39" t="n">
        <v>30000</v>
      </c>
      <c r="E128" s="40" t="n">
        <v>914</v>
      </c>
      <c r="F128" s="40" t="n">
        <v>914</v>
      </c>
      <c r="G128" s="41" t="n">
        <v>-30.82</v>
      </c>
      <c r="H128" s="41" t="n">
        <v>-0.06</v>
      </c>
      <c r="I128" s="19" t="n">
        <v>1308.87</v>
      </c>
      <c r="J128" s="41" t="n">
        <v>648.5599999999999</v>
      </c>
      <c r="K128" s="42">
        <f>IF(AND(B128="SELL",E128&gt;0,J128&lt;&gt;""),J128/E128,0)</f>
        <v/>
      </c>
      <c r="L128" s="42" t="n">
        <v>0.67</v>
      </c>
      <c r="M128" s="40">
        <f>IF(AND(B128="SELL",L128&gt;0),D128*L128,0)</f>
        <v/>
      </c>
      <c r="N128" s="36" t="n"/>
      <c r="O128" s="43">
        <f>IF(AND(B128="SELL",G128&lt;&gt;0),Q128/ABS(G128),0)</f>
        <v/>
      </c>
      <c r="P128" s="43">
        <f>IF(AND(B128="SELL",D128&gt;0),R128/D128,0)</f>
        <v/>
      </c>
      <c r="Q128" s="44">
        <f>IF(AND(B128="SELL",D128&gt;0,E128&gt;0),(D128/E128)+G128,0)</f>
        <v/>
      </c>
      <c r="R128" s="45">
        <f>IF(B128="SELL",Q128*F128,0)</f>
        <v/>
      </c>
      <c r="S128" s="24">
        <f>S127+R128</f>
        <v/>
      </c>
    </row>
    <row r="129" ht="15.75" customHeight="1" s="94">
      <c r="A129" s="46" t="n">
        <v>128</v>
      </c>
      <c r="B129" s="47" t="inlineStr">
        <is>
          <t>SELL</t>
        </is>
      </c>
      <c r="C129" s="48" t="n">
        <v>46102</v>
      </c>
      <c r="D129" s="49" t="n">
        <v>10000</v>
      </c>
      <c r="E129" s="50" t="n">
        <v>914</v>
      </c>
      <c r="F129" s="50" t="n">
        <v>914</v>
      </c>
      <c r="G129" s="51" t="n">
        <v>-10.48</v>
      </c>
      <c r="H129" s="51" t="n">
        <v>-0.06</v>
      </c>
      <c r="I129" s="30" t="n">
        <v>1298.33</v>
      </c>
      <c r="J129" s="51" t="n">
        <v>642.503</v>
      </c>
      <c r="K129" s="52">
        <f>IF(AND(B129="SELL",E129&gt;0,J129&lt;&gt;""),J129/E129,0)</f>
        <v/>
      </c>
      <c r="L129" s="52" t="n">
        <v>0.67</v>
      </c>
      <c r="M129" s="50">
        <f>IF(AND(B129="SELL",L129&gt;0),D129*L129,0)</f>
        <v/>
      </c>
      <c r="N129" s="46" t="n"/>
      <c r="O129" s="53">
        <f>IF(AND(B129="SELL",G129&lt;&gt;0),Q129/ABS(G129),0)</f>
        <v/>
      </c>
      <c r="P129" s="53">
        <f>IF(AND(B129="SELL",D129&gt;0),R129/D129,0)</f>
        <v/>
      </c>
      <c r="Q129" s="54">
        <f>IF(AND(B129="SELL",D129&gt;0,E129&gt;0),(D129/E129)+G129,0)</f>
        <v/>
      </c>
      <c r="R129" s="55">
        <f>IF(B129="SELL",Q129*F129,0)</f>
        <v/>
      </c>
      <c r="S129" s="35">
        <f>S128+R129</f>
        <v/>
      </c>
    </row>
    <row r="130" ht="15.75" customHeight="1" s="94">
      <c r="A130" s="36" t="n">
        <v>129</v>
      </c>
      <c r="B130" s="37" t="inlineStr">
        <is>
          <t>SELL</t>
        </is>
      </c>
      <c r="C130" s="38" t="n">
        <v>46102</v>
      </c>
      <c r="D130" s="39" t="n">
        <v>40000</v>
      </c>
      <c r="E130" s="40" t="n">
        <v>914</v>
      </c>
      <c r="F130" s="40" t="n">
        <v>914</v>
      </c>
      <c r="G130" s="41" t="n">
        <v>-41.28</v>
      </c>
      <c r="H130" s="41" t="n">
        <v>-0.06</v>
      </c>
      <c r="I130" s="19" t="n">
        <v>1256.99</v>
      </c>
      <c r="J130" s="41" t="n">
        <v>648.5599999999999</v>
      </c>
      <c r="K130" s="42">
        <f>IF(AND(B130="SELL",E130&gt;0,J130&lt;&gt;""),J130/E130,0)</f>
        <v/>
      </c>
      <c r="L130" s="42" t="n">
        <v>0.67</v>
      </c>
      <c r="M130" s="40">
        <f>IF(AND(B130="SELL",L130&gt;0),D130*L130,0)</f>
        <v/>
      </c>
      <c r="N130" s="36" t="n"/>
      <c r="O130" s="43">
        <f>IF(AND(B130="SELL",G130&lt;&gt;0),Q130/ABS(G130),0)</f>
        <v/>
      </c>
      <c r="P130" s="43">
        <f>IF(AND(B130="SELL",D130&gt;0),R130/D130,0)</f>
        <v/>
      </c>
      <c r="Q130" s="44">
        <f>IF(AND(B130="SELL",D130&gt;0,E130&gt;0),(D130/E130)+G130,0)</f>
        <v/>
      </c>
      <c r="R130" s="45">
        <f>IF(B130="SELL",Q130*F130,0)</f>
        <v/>
      </c>
      <c r="S130" s="24">
        <f>S129+R130</f>
        <v/>
      </c>
    </row>
    <row r="131" ht="15.75" customHeight="1" s="94">
      <c r="A131" s="46" t="n">
        <v>130</v>
      </c>
      <c r="B131" s="47" t="inlineStr">
        <is>
          <t>SELL</t>
        </is>
      </c>
      <c r="C131" s="48" t="n">
        <v>46102</v>
      </c>
      <c r="D131" s="49" t="n">
        <v>45000</v>
      </c>
      <c r="E131" s="50" t="n">
        <v>914</v>
      </c>
      <c r="F131" s="50" t="n">
        <v>914</v>
      </c>
      <c r="G131" s="51" t="n">
        <v>-46.37</v>
      </c>
      <c r="H131" s="51" t="n">
        <v>-0.06</v>
      </c>
      <c r="I131" s="30" t="n">
        <v>1210.56</v>
      </c>
      <c r="J131" s="51" t="n">
        <v>651</v>
      </c>
      <c r="K131" s="52">
        <f>IF(AND(B131="SELL",E131&gt;0,J131&lt;&gt;""),J131/E131,0)</f>
        <v/>
      </c>
      <c r="L131" s="52" t="n">
        <v>0.67</v>
      </c>
      <c r="M131" s="50">
        <f>IF(AND(B131="SELL",L131&gt;0),D131*L131,0)</f>
        <v/>
      </c>
      <c r="N131" s="46" t="n"/>
      <c r="O131" s="53">
        <f>IF(AND(B131="SELL",G131&lt;&gt;0),Q131/ABS(G131),0)</f>
        <v/>
      </c>
      <c r="P131" s="53">
        <f>IF(AND(B131="SELL",D131&gt;0),R131/D131,0)</f>
        <v/>
      </c>
      <c r="Q131" s="54">
        <f>IF(AND(B131="SELL",D131&gt;0,E131&gt;0),(D131/E131)+G131,0)</f>
        <v/>
      </c>
      <c r="R131" s="55">
        <f>IF(B131="SELL",Q131*F131,0)</f>
        <v/>
      </c>
      <c r="S131" s="35">
        <f>S130+R131</f>
        <v/>
      </c>
    </row>
    <row r="132">
      <c r="A132" s="72" t="n">
        <v>131</v>
      </c>
      <c r="B132" s="73" t="inlineStr">
        <is>
          <t>SELL</t>
        </is>
      </c>
      <c r="C132" s="74" t="n">
        <v>46103</v>
      </c>
      <c r="D132" s="75" t="n">
        <v>60000</v>
      </c>
      <c r="E132" s="76" t="n">
        <v>914</v>
      </c>
      <c r="F132" s="76" t="n">
        <v>914</v>
      </c>
      <c r="G132" s="77" t="n">
        <v>-61.8</v>
      </c>
      <c r="H132" s="77" t="n">
        <v>-0.06</v>
      </c>
      <c r="I132" s="77">
        <f>I131+G132+H132</f>
        <v/>
      </c>
      <c r="J132" s="77" t="n">
        <v>651.38</v>
      </c>
      <c r="K132" s="78">
        <f>IF(AND(B132="SELL",E132&gt;0,J132&lt;&gt;""),J132/E132,0)</f>
        <v/>
      </c>
      <c r="L132" s="78" t="n">
        <v>0.671</v>
      </c>
      <c r="M132" s="76">
        <f>IF(AND(B132="SELL",L132&gt;0),D132*L132,0)</f>
        <v/>
      </c>
      <c r="N132" s="72" t="inlineStr">
        <is>
          <t>cambio brayant</t>
        </is>
      </c>
      <c r="O132" s="79">
        <f>IF(AND(B132="SELL",G132&lt;&gt;0),Q132/ABS(G132),0)</f>
        <v/>
      </c>
      <c r="P132" s="79">
        <f>IF(AND(B132="SELL",D132&gt;0),R132/D132,0)</f>
        <v/>
      </c>
      <c r="Q132" s="80">
        <f>IF(AND(B132="SELL",D132&gt;0,E132&gt;0),(D132/E132)+G132,0)</f>
        <v/>
      </c>
      <c r="R132" s="81">
        <f>IF(B132="SELL",Q132*F132,0)</f>
        <v/>
      </c>
      <c r="S132" s="82">
        <f>S131+R132</f>
        <v/>
      </c>
    </row>
    <row r="133">
      <c r="A133" s="72" t="n">
        <v>133</v>
      </c>
      <c r="B133" s="73" t="inlineStr">
        <is>
          <t>SELL</t>
        </is>
      </c>
      <c r="C133" s="74" t="n">
        <v>46103</v>
      </c>
      <c r="D133" s="75" t="n">
        <v>60000</v>
      </c>
      <c r="E133" s="76" t="n">
        <v>914</v>
      </c>
      <c r="F133" s="76" t="n">
        <v>914</v>
      </c>
      <c r="G133" s="77" t="n">
        <v>-61.95</v>
      </c>
      <c r="H133" s="77" t="n">
        <v>-0.06</v>
      </c>
      <c r="I133" s="77">
        <f>I132+G133+H133</f>
        <v/>
      </c>
      <c r="J133" s="77" t="n">
        <v>649.8049999999999</v>
      </c>
      <c r="K133" s="78">
        <f>IF(AND(B133="SELL",E133&gt;0,J133&lt;&gt;""),J133/E133,0)</f>
        <v/>
      </c>
      <c r="L133" s="78" t="n">
        <v>0.671</v>
      </c>
      <c r="M133" s="76">
        <f>IF(AND(B133="SELL",L133&gt;0),D133*L133,0)</f>
        <v/>
      </c>
      <c r="N133" s="72" t="inlineStr">
        <is>
          <t>cambio wale</t>
        </is>
      </c>
      <c r="O133" s="79">
        <f>IF(AND(B133="SELL",G133&lt;&gt;0),Q133/ABS(G133),0)</f>
        <v/>
      </c>
      <c r="P133" s="79">
        <f>IF(AND(B133="SELL",D133&gt;0),R133/D133,0)</f>
        <v/>
      </c>
      <c r="Q133" s="80">
        <f>IF(AND(B133="SELL",D133&gt;0,E133&gt;0),(D133/E133)+G133,0)</f>
        <v/>
      </c>
      <c r="R133" s="81">
        <f>IF(B133="SELL",Q133*F133,0)</f>
        <v/>
      </c>
      <c r="S133" s="82">
        <f>S132+R133</f>
        <v/>
      </c>
    </row>
    <row r="134">
      <c r="A134" s="83" t="n">
        <v>134</v>
      </c>
      <c r="B134" s="84" t="inlineStr">
        <is>
          <t>SELL</t>
        </is>
      </c>
      <c r="C134" s="85" t="n">
        <v>46103</v>
      </c>
      <c r="D134" s="86" t="n">
        <v>20000</v>
      </c>
      <c r="E134" s="87" t="n">
        <v>914</v>
      </c>
      <c r="F134" s="87" t="n">
        <v>914</v>
      </c>
      <c r="G134" s="88" t="n">
        <v>-20.62</v>
      </c>
      <c r="H134" s="88" t="n">
        <v>-0.06</v>
      </c>
      <c r="I134" s="77">
        <f>I133+G134+H134</f>
        <v/>
      </c>
      <c r="J134" s="88" t="n">
        <v>650.7</v>
      </c>
      <c r="K134" s="89">
        <f>IF(AND(B134="SELL",E134&gt;0,J134&lt;&gt;""),J134/E134,0)</f>
        <v/>
      </c>
      <c r="L134" s="89" t="n">
        <v>0.671</v>
      </c>
      <c r="M134" s="87">
        <f>IF(AND(B134="SELL",L134&gt;0),D134*L134,0)</f>
        <v/>
      </c>
      <c r="N134" s="83" t="inlineStr">
        <is>
          <t>cambio uvbida</t>
        </is>
      </c>
      <c r="O134" s="90">
        <f>IF(AND(B134="SELL",G134&lt;&gt;0),Q134/ABS(G134),0)</f>
        <v/>
      </c>
      <c r="P134" s="90">
        <f>IF(AND(B134="SELL",D134&gt;0),R134/D134,0)</f>
        <v/>
      </c>
      <c r="Q134" s="91">
        <f>IF(AND(B134="SELL",D134&gt;0,E134&gt;0),(D134/E134)+G134,0)</f>
        <v/>
      </c>
      <c r="R134" s="92">
        <f>IF(B134="SELL",Q134*F134,0)</f>
        <v/>
      </c>
      <c r="S134" s="82">
        <f>S133+R134</f>
        <v/>
      </c>
    </row>
    <row r="135"/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01"/>
  <sheetViews>
    <sheetView showGridLines="0" zoomScaleNormal="100" workbookViewId="0">
      <pane ySplit="1" topLeftCell="A197" activePane="bottomLeft" state="frozen"/>
      <selection pane="bottomLeft" activeCell="A203" sqref="A203:XFD203"/>
    </sheetView>
  </sheetViews>
  <sheetFormatPr baseColWidth="10" defaultColWidth="8.6640625" defaultRowHeight="14.25"/>
  <cols>
    <col width="5" customWidth="1" style="94" min="1" max="1"/>
    <col width="8" customWidth="1" style="94" min="2" max="2"/>
    <col width="11" customWidth="1" style="94" min="3" max="3"/>
    <col width="13" customWidth="1" style="94" min="4" max="6"/>
    <col width="10" customWidth="1" style="94" min="7" max="8"/>
    <col width="13" customWidth="1" style="94" min="9" max="10"/>
    <col width="11" customWidth="1" style="94" min="11" max="12"/>
    <col width="13" customWidth="1" style="94" min="13" max="13"/>
    <col width="20" customWidth="1" style="94" min="14" max="14"/>
    <col width="10" customWidth="1" style="94" min="15" max="16"/>
    <col width="13" customWidth="1" style="94" min="17" max="18"/>
    <col width="15" customWidth="1" style="94" min="19" max="19"/>
  </cols>
  <sheetData>
    <row r="1" ht="21.75" customHeight="1" s="94">
      <c r="A1" s="2" t="inlineStr">
        <is>
          <t>N°</t>
        </is>
      </c>
      <c r="B1" s="2" t="inlineStr">
        <is>
          <t>Tipo</t>
        </is>
      </c>
      <c r="C1" s="2" t="inlineStr">
        <is>
          <t>Fecha</t>
        </is>
      </c>
      <c r="D1" s="2" t="inlineStr">
        <is>
          <t>Monto CLP</t>
        </is>
      </c>
      <c r="E1" s="2" t="inlineStr">
        <is>
          <t>USDT/CLP Compra</t>
        </is>
      </c>
      <c r="F1" s="2" t="inlineStr">
        <is>
          <t>USDT/CLP Venta</t>
        </is>
      </c>
      <c r="G1" s="2" t="inlineStr">
        <is>
          <t>USDT Mov</t>
        </is>
      </c>
      <c r="H1" s="2" t="inlineStr">
        <is>
          <t>Tax Binance</t>
        </is>
      </c>
      <c r="I1" s="2" t="inlineStr">
        <is>
          <t>Capital USDT</t>
        </is>
      </c>
      <c r="J1" s="2" t="inlineStr">
        <is>
          <t>Tasa Destino</t>
        </is>
      </c>
      <c r="K1" s="2" t="inlineStr">
        <is>
          <t>Tasa Real</t>
        </is>
      </c>
      <c r="L1" s="2" t="inlineStr">
        <is>
          <t>Tasa IREMI</t>
        </is>
      </c>
      <c r="M1" s="2" t="inlineStr">
        <is>
          <t>Valor Destino</t>
        </is>
      </c>
      <c r="N1" s="2" t="inlineStr">
        <is>
          <t>Comentario</t>
        </is>
      </c>
      <c r="O1" s="2" t="inlineStr">
        <is>
          <t>% G USDT</t>
        </is>
      </c>
      <c r="P1" s="2" t="inlineStr">
        <is>
          <t>% G CLP</t>
        </is>
      </c>
      <c r="Q1" s="2" t="inlineStr">
        <is>
          <t>Ganancia USDT</t>
        </is>
      </c>
      <c r="R1" s="2" t="inlineStr">
        <is>
          <t>Ganancia CLP</t>
        </is>
      </c>
      <c r="S1" s="2" t="inlineStr">
        <is>
          <t>Acumulado SELL</t>
        </is>
      </c>
    </row>
    <row r="2" ht="15.75" customHeight="1" s="94">
      <c r="A2" s="14" t="n"/>
      <c r="B2" s="14">
        <f>IF(D2="","",IF(G2&lt;0,"SELL","BUY"))</f>
        <v/>
      </c>
      <c r="C2" s="14" t="n"/>
      <c r="D2" s="14" t="n"/>
      <c r="E2" s="14" t="n"/>
      <c r="F2" s="14" t="n"/>
      <c r="G2" s="14" t="n"/>
      <c r="H2" s="19" t="n">
        <v>-0.06</v>
      </c>
      <c r="I2" s="19">
        <f>IF(D2&lt;&gt;"",1210.56+G2+H2,1210.56)</f>
        <v/>
      </c>
      <c r="J2" s="14" t="n"/>
      <c r="K2" s="20">
        <f>IF(AND(B2="SELL",E2&gt;0,J2&lt;&gt;""),J2/E2,0)</f>
        <v/>
      </c>
      <c r="L2" s="14" t="n"/>
      <c r="M2" s="18">
        <f>IF(AND(B2="SELL",L2&gt;0),D2*L2,0)</f>
        <v/>
      </c>
      <c r="N2" s="14" t="n"/>
      <c r="O2" s="21">
        <f>IF(AND(B2="SELL",G2&lt;&gt;0),Q2/ABS(G2),0)</f>
        <v/>
      </c>
      <c r="P2" s="21">
        <f>IF(AND(B2="SELL",D2&gt;0),R2/D2,0)</f>
        <v/>
      </c>
      <c r="Q2" s="22">
        <f>IF(AND(B2="SELL",D2&gt;0,E2&gt;0),(D2/E2)+G2,0)</f>
        <v/>
      </c>
      <c r="R2" s="60">
        <f>IF(B2="SELL",Q2*F2,0)</f>
        <v/>
      </c>
      <c r="S2" s="60">
        <f>'Marzo 2026'!S131+R2</f>
        <v/>
      </c>
    </row>
    <row r="3" ht="15.75" customHeight="1" s="94">
      <c r="A3" s="25" t="n"/>
      <c r="B3" s="25">
        <f>IF(D3="","",IF(G3&lt;0,"SELL","BUY"))</f>
        <v/>
      </c>
      <c r="C3" s="25" t="n"/>
      <c r="D3" s="25" t="n"/>
      <c r="E3" s="25" t="n"/>
      <c r="F3" s="25" t="n"/>
      <c r="G3" s="25" t="n"/>
      <c r="H3" s="30" t="n">
        <v>-0.06</v>
      </c>
      <c r="I3" s="30">
        <f>I2+G3+H3</f>
        <v/>
      </c>
      <c r="J3" s="25" t="n"/>
      <c r="K3" s="31">
        <f>IF(AND(B3="SELL",E3&gt;0,J3&lt;&gt;""),J3/E3,0)</f>
        <v/>
      </c>
      <c r="L3" s="25" t="n"/>
      <c r="M3" s="29">
        <f>IF(AND(B3="SELL",L3&gt;0),D3*L3,0)</f>
        <v/>
      </c>
      <c r="N3" s="25" t="n"/>
      <c r="O3" s="32">
        <f>IF(AND(B3="SELL",G3&lt;&gt;0),Q3/ABS(G3),0)</f>
        <v/>
      </c>
      <c r="P3" s="32">
        <f>IF(AND(B3="SELL",D3&gt;0),R3/D3,0)</f>
        <v/>
      </c>
      <c r="Q3" s="33">
        <f>IF(AND(B3="SELL",D3&gt;0,E3&gt;0),(D3/E3)+G3,0)</f>
        <v/>
      </c>
      <c r="R3" s="61">
        <f>IF(B3="SELL",Q3*F3,0)</f>
        <v/>
      </c>
      <c r="S3" s="61">
        <f>S2+R3</f>
        <v/>
      </c>
    </row>
    <row r="4" ht="15.75" customHeight="1" s="94">
      <c r="A4" s="14" t="n"/>
      <c r="B4" s="14">
        <f>IF(D4="","",IF(G4&lt;0,"SELL","BUY"))</f>
        <v/>
      </c>
      <c r="C4" s="14" t="n"/>
      <c r="D4" s="14" t="n"/>
      <c r="E4" s="14" t="n"/>
      <c r="F4" s="14" t="n"/>
      <c r="G4" s="14" t="n"/>
      <c r="H4" s="19" t="n">
        <v>-0.06</v>
      </c>
      <c r="I4" s="19">
        <f>I3+G4+H4</f>
        <v/>
      </c>
      <c r="J4" s="14" t="n"/>
      <c r="K4" s="20">
        <f>IF(AND(B4="SELL",E4&gt;0,J4&lt;&gt;""),J4/E4,0)</f>
        <v/>
      </c>
      <c r="L4" s="14" t="n"/>
      <c r="M4" s="18">
        <f>IF(AND(B4="SELL",L4&gt;0),D4*L4,0)</f>
        <v/>
      </c>
      <c r="N4" s="14" t="n"/>
      <c r="O4" s="21">
        <f>IF(AND(B4="SELL",G4&lt;&gt;0),Q4/ABS(G4),0)</f>
        <v/>
      </c>
      <c r="P4" s="21">
        <f>IF(AND(B4="SELL",D4&gt;0),R4/D4,0)</f>
        <v/>
      </c>
      <c r="Q4" s="22">
        <f>IF(AND(B4="SELL",D4&gt;0,E4&gt;0),(D4/E4)+G4,0)</f>
        <v/>
      </c>
      <c r="R4" s="60">
        <f>IF(B4="SELL",Q4*F4,0)</f>
        <v/>
      </c>
      <c r="S4" s="60">
        <f>S3+R4</f>
        <v/>
      </c>
    </row>
    <row r="5" ht="15.75" customHeight="1" s="94">
      <c r="A5" s="25" t="n"/>
      <c r="B5" s="25">
        <f>IF(D5="","",IF(G5&lt;0,"SELL","BUY"))</f>
        <v/>
      </c>
      <c r="C5" s="25" t="n"/>
      <c r="D5" s="25" t="n"/>
      <c r="E5" s="25" t="n"/>
      <c r="F5" s="25" t="n"/>
      <c r="G5" s="25" t="n"/>
      <c r="H5" s="30" t="n">
        <v>-0.06</v>
      </c>
      <c r="I5" s="30">
        <f>I4+G5+H5</f>
        <v/>
      </c>
      <c r="J5" s="25" t="n"/>
      <c r="K5" s="31">
        <f>IF(AND(B5="SELL",E5&gt;0,J5&lt;&gt;""),J5/E5,0)</f>
        <v/>
      </c>
      <c r="L5" s="25" t="n"/>
      <c r="M5" s="29">
        <f>IF(AND(B5="SELL",L5&gt;0),D5*L5,0)</f>
        <v/>
      </c>
      <c r="N5" s="25" t="n"/>
      <c r="O5" s="32">
        <f>IF(AND(B5="SELL",G5&lt;&gt;0),Q5/ABS(G5),0)</f>
        <v/>
      </c>
      <c r="P5" s="32">
        <f>IF(AND(B5="SELL",D5&gt;0),R5/D5,0)</f>
        <v/>
      </c>
      <c r="Q5" s="33">
        <f>IF(AND(B5="SELL",D5&gt;0,E5&gt;0),(D5/E5)+G5,0)</f>
        <v/>
      </c>
      <c r="R5" s="61">
        <f>IF(B5="SELL",Q5*F5,0)</f>
        <v/>
      </c>
      <c r="S5" s="61">
        <f>S4+R5</f>
        <v/>
      </c>
    </row>
    <row r="6" ht="15.75" customHeight="1" s="94">
      <c r="A6" s="14" t="n"/>
      <c r="B6" s="14">
        <f>IF(D6="","",IF(G6&lt;0,"SELL","BUY"))</f>
        <v/>
      </c>
      <c r="C6" s="14" t="n"/>
      <c r="D6" s="14" t="n"/>
      <c r="E6" s="14" t="n"/>
      <c r="F6" s="14" t="n"/>
      <c r="G6" s="14" t="n"/>
      <c r="H6" s="19" t="n">
        <v>-0.06</v>
      </c>
      <c r="I6" s="19">
        <f>I5+G6+H6</f>
        <v/>
      </c>
      <c r="J6" s="14" t="n"/>
      <c r="K6" s="20">
        <f>IF(AND(B6="SELL",E6&gt;0,J6&lt;&gt;""),J6/E6,0)</f>
        <v/>
      </c>
      <c r="L6" s="14" t="n"/>
      <c r="M6" s="18">
        <f>IF(AND(B6="SELL",L6&gt;0),D6*L6,0)</f>
        <v/>
      </c>
      <c r="N6" s="14" t="n"/>
      <c r="O6" s="21">
        <f>IF(AND(B6="SELL",G6&lt;&gt;0),Q6/ABS(G6),0)</f>
        <v/>
      </c>
      <c r="P6" s="21">
        <f>IF(AND(B6="SELL",D6&gt;0),R6/D6,0)</f>
        <v/>
      </c>
      <c r="Q6" s="22">
        <f>IF(AND(B6="SELL",D6&gt;0,E6&gt;0),(D6/E6)+G6,0)</f>
        <v/>
      </c>
      <c r="R6" s="60">
        <f>IF(B6="SELL",Q6*F6,0)</f>
        <v/>
      </c>
      <c r="S6" s="60">
        <f>S5+R6</f>
        <v/>
      </c>
    </row>
    <row r="7" ht="15.75" customHeight="1" s="94">
      <c r="A7" s="25" t="n"/>
      <c r="B7" s="25">
        <f>IF(D7="","",IF(G7&lt;0,"SELL","BUY"))</f>
        <v/>
      </c>
      <c r="C7" s="25" t="n"/>
      <c r="D7" s="25" t="n"/>
      <c r="E7" s="25" t="n"/>
      <c r="F7" s="25" t="n"/>
      <c r="G7" s="25" t="n"/>
      <c r="H7" s="30" t="n">
        <v>-0.06</v>
      </c>
      <c r="I7" s="30">
        <f>I6+G7+H7</f>
        <v/>
      </c>
      <c r="J7" s="25" t="n"/>
      <c r="K7" s="31">
        <f>IF(AND(B7="SELL",E7&gt;0,J7&lt;&gt;""),J7/E7,0)</f>
        <v/>
      </c>
      <c r="L7" s="25" t="n"/>
      <c r="M7" s="29">
        <f>IF(AND(B7="SELL",L7&gt;0),D7*L7,0)</f>
        <v/>
      </c>
      <c r="N7" s="25" t="n"/>
      <c r="O7" s="32">
        <f>IF(AND(B7="SELL",G7&lt;&gt;0),Q7/ABS(G7),0)</f>
        <v/>
      </c>
      <c r="P7" s="32">
        <f>IF(AND(B7="SELL",D7&gt;0),R7/D7,0)</f>
        <v/>
      </c>
      <c r="Q7" s="33">
        <f>IF(AND(B7="SELL",D7&gt;0,E7&gt;0),(D7/E7)+G7,0)</f>
        <v/>
      </c>
      <c r="R7" s="61">
        <f>IF(B7="SELL",Q7*F7,0)</f>
        <v/>
      </c>
      <c r="S7" s="61">
        <f>S6+R7</f>
        <v/>
      </c>
    </row>
    <row r="8" ht="15.75" customHeight="1" s="94">
      <c r="A8" s="14" t="n"/>
      <c r="B8" s="14">
        <f>IF(D8="","",IF(G8&lt;0,"SELL","BUY"))</f>
        <v/>
      </c>
      <c r="C8" s="14" t="n"/>
      <c r="D8" s="14" t="n"/>
      <c r="E8" s="14" t="n"/>
      <c r="F8" s="14" t="n"/>
      <c r="G8" s="14" t="n"/>
      <c r="H8" s="19" t="n">
        <v>-0.06</v>
      </c>
      <c r="I8" s="19">
        <f>I7+G8+H8</f>
        <v/>
      </c>
      <c r="J8" s="14" t="n"/>
      <c r="K8" s="20">
        <f>IF(AND(B8="SELL",E8&gt;0,J8&lt;&gt;""),J8/E8,0)</f>
        <v/>
      </c>
      <c r="L8" s="14" t="n"/>
      <c r="M8" s="18">
        <f>IF(AND(B8="SELL",L8&gt;0),D8*L8,0)</f>
        <v/>
      </c>
      <c r="N8" s="14" t="n"/>
      <c r="O8" s="21">
        <f>IF(AND(B8="SELL",G8&lt;&gt;0),Q8/ABS(G8),0)</f>
        <v/>
      </c>
      <c r="P8" s="21">
        <f>IF(AND(B8="SELL",D8&gt;0),R8/D8,0)</f>
        <v/>
      </c>
      <c r="Q8" s="22">
        <f>IF(AND(B8="SELL",D8&gt;0,E8&gt;0),(D8/E8)+G8,0)</f>
        <v/>
      </c>
      <c r="R8" s="60">
        <f>IF(B8="SELL",Q8*F8,0)</f>
        <v/>
      </c>
      <c r="S8" s="60">
        <f>S7+R8</f>
        <v/>
      </c>
    </row>
    <row r="9" ht="15.75" customHeight="1" s="94">
      <c r="A9" s="25" t="n"/>
      <c r="B9" s="25">
        <f>IF(D9="","",IF(G9&lt;0,"SELL","BUY"))</f>
        <v/>
      </c>
      <c r="C9" s="25" t="n"/>
      <c r="D9" s="25" t="n"/>
      <c r="E9" s="25" t="n"/>
      <c r="F9" s="25" t="n"/>
      <c r="G9" s="25" t="n"/>
      <c r="H9" s="30" t="n">
        <v>-0.06</v>
      </c>
      <c r="I9" s="30">
        <f>I8+G9+H9</f>
        <v/>
      </c>
      <c r="J9" s="25" t="n"/>
      <c r="K9" s="31">
        <f>IF(AND(B9="SELL",E9&gt;0,J9&lt;&gt;""),J9/E9,0)</f>
        <v/>
      </c>
      <c r="L9" s="25" t="n"/>
      <c r="M9" s="29">
        <f>IF(AND(B9="SELL",L9&gt;0),D9*L9,0)</f>
        <v/>
      </c>
      <c r="N9" s="25" t="n"/>
      <c r="O9" s="32">
        <f>IF(AND(B9="SELL",G9&lt;&gt;0),Q9/ABS(G9),0)</f>
        <v/>
      </c>
      <c r="P9" s="32">
        <f>IF(AND(B9="SELL",D9&gt;0),R9/D9,0)</f>
        <v/>
      </c>
      <c r="Q9" s="33">
        <f>IF(AND(B9="SELL",D9&gt;0,E9&gt;0),(D9/E9)+G9,0)</f>
        <v/>
      </c>
      <c r="R9" s="61">
        <f>IF(B9="SELL",Q9*F9,0)</f>
        <v/>
      </c>
      <c r="S9" s="61">
        <f>S8+R9</f>
        <v/>
      </c>
    </row>
    <row r="10" ht="15.75" customHeight="1" s="94">
      <c r="A10" s="14" t="n"/>
      <c r="B10" s="14">
        <f>IF(D10="","",IF(G10&lt;0,"SELL","BUY"))</f>
        <v/>
      </c>
      <c r="C10" s="14" t="n"/>
      <c r="D10" s="14" t="n"/>
      <c r="E10" s="14" t="n"/>
      <c r="F10" s="14" t="n"/>
      <c r="G10" s="14" t="n"/>
      <c r="H10" s="19" t="n">
        <v>-0.06</v>
      </c>
      <c r="I10" s="19">
        <f>I9+G10+H10</f>
        <v/>
      </c>
      <c r="J10" s="14" t="n"/>
      <c r="K10" s="20">
        <f>IF(AND(B10="SELL",E10&gt;0,J10&lt;&gt;""),J10/E10,0)</f>
        <v/>
      </c>
      <c r="L10" s="14" t="n"/>
      <c r="M10" s="18">
        <f>IF(AND(B10="SELL",L10&gt;0),D10*L10,0)</f>
        <v/>
      </c>
      <c r="N10" s="14" t="n"/>
      <c r="O10" s="21">
        <f>IF(AND(B10="SELL",G10&lt;&gt;0),Q10/ABS(G10),0)</f>
        <v/>
      </c>
      <c r="P10" s="21">
        <f>IF(AND(B10="SELL",D10&gt;0),R10/D10,0)</f>
        <v/>
      </c>
      <c r="Q10" s="22">
        <f>IF(AND(B10="SELL",D10&gt;0,E10&gt;0),(D10/E10)+G10,0)</f>
        <v/>
      </c>
      <c r="R10" s="60">
        <f>IF(B10="SELL",Q10*F10,0)</f>
        <v/>
      </c>
      <c r="S10" s="60">
        <f>S9+R10</f>
        <v/>
      </c>
    </row>
    <row r="11" ht="15.75" customHeight="1" s="94">
      <c r="A11" s="25" t="n"/>
      <c r="B11" s="25">
        <f>IF(D11="","",IF(G11&lt;0,"SELL","BUY"))</f>
        <v/>
      </c>
      <c r="C11" s="25" t="n"/>
      <c r="D11" s="25" t="n"/>
      <c r="E11" s="25" t="n"/>
      <c r="F11" s="25" t="n"/>
      <c r="G11" s="25" t="n"/>
      <c r="H11" s="30" t="n">
        <v>-0.06</v>
      </c>
      <c r="I11" s="30">
        <f>I10+G11+H11</f>
        <v/>
      </c>
      <c r="J11" s="25" t="n"/>
      <c r="K11" s="31">
        <f>IF(AND(B11="SELL",E11&gt;0,J11&lt;&gt;""),J11/E11,0)</f>
        <v/>
      </c>
      <c r="L11" s="25" t="n"/>
      <c r="M11" s="29">
        <f>IF(AND(B11="SELL",L11&gt;0),D11*L11,0)</f>
        <v/>
      </c>
      <c r="N11" s="25" t="n"/>
      <c r="O11" s="32">
        <f>IF(AND(B11="SELL",G11&lt;&gt;0),Q11/ABS(G11),0)</f>
        <v/>
      </c>
      <c r="P11" s="32">
        <f>IF(AND(B11="SELL",D11&gt;0),R11/D11,0)</f>
        <v/>
      </c>
      <c r="Q11" s="33">
        <f>IF(AND(B11="SELL",D11&gt;0,E11&gt;0),(D11/E11)+G11,0)</f>
        <v/>
      </c>
      <c r="R11" s="61">
        <f>IF(B11="SELL",Q11*F11,0)</f>
        <v/>
      </c>
      <c r="S11" s="61">
        <f>S10+R11</f>
        <v/>
      </c>
    </row>
    <row r="12" ht="15.75" customHeight="1" s="94">
      <c r="A12" s="14" t="n"/>
      <c r="B12" s="14">
        <f>IF(D12="","",IF(G12&lt;0,"SELL","BUY"))</f>
        <v/>
      </c>
      <c r="C12" s="14" t="n"/>
      <c r="D12" s="14" t="n"/>
      <c r="E12" s="14" t="n"/>
      <c r="F12" s="14" t="n"/>
      <c r="G12" s="14" t="n"/>
      <c r="H12" s="19" t="n">
        <v>-0.06</v>
      </c>
      <c r="I12" s="19">
        <f>I11+G12+H12</f>
        <v/>
      </c>
      <c r="J12" s="14" t="n"/>
      <c r="K12" s="20">
        <f>IF(AND(B12="SELL",E12&gt;0,J12&lt;&gt;""),J12/E12,0)</f>
        <v/>
      </c>
      <c r="L12" s="14" t="n"/>
      <c r="M12" s="18">
        <f>IF(AND(B12="SELL",L12&gt;0),D12*L12,0)</f>
        <v/>
      </c>
      <c r="N12" s="14" t="n"/>
      <c r="O12" s="21">
        <f>IF(AND(B12="SELL",G12&lt;&gt;0),Q12/ABS(G12),0)</f>
        <v/>
      </c>
      <c r="P12" s="21">
        <f>IF(AND(B12="SELL",D12&gt;0),R12/D12,0)</f>
        <v/>
      </c>
      <c r="Q12" s="22">
        <f>IF(AND(B12="SELL",D12&gt;0,E12&gt;0),(D12/E12)+G12,0)</f>
        <v/>
      </c>
      <c r="R12" s="60">
        <f>IF(B12="SELL",Q12*F12,0)</f>
        <v/>
      </c>
      <c r="S12" s="60">
        <f>S11+R12</f>
        <v/>
      </c>
    </row>
    <row r="13" ht="15.75" customHeight="1" s="94">
      <c r="A13" s="25" t="n"/>
      <c r="B13" s="25">
        <f>IF(D13="","",IF(G13&lt;0,"SELL","BUY"))</f>
        <v/>
      </c>
      <c r="C13" s="25" t="n"/>
      <c r="D13" s="25" t="n"/>
      <c r="E13" s="25" t="n"/>
      <c r="F13" s="25" t="n"/>
      <c r="G13" s="25" t="n"/>
      <c r="H13" s="30" t="n">
        <v>-0.06</v>
      </c>
      <c r="I13" s="30">
        <f>I12+G13+H13</f>
        <v/>
      </c>
      <c r="J13" s="25" t="n"/>
      <c r="K13" s="31">
        <f>IF(AND(B13="SELL",E13&gt;0,J13&lt;&gt;""),J13/E13,0)</f>
        <v/>
      </c>
      <c r="L13" s="25" t="n"/>
      <c r="M13" s="29">
        <f>IF(AND(B13="SELL",L13&gt;0),D13*L13,0)</f>
        <v/>
      </c>
      <c r="N13" s="25" t="n"/>
      <c r="O13" s="32">
        <f>IF(AND(B13="SELL",G13&lt;&gt;0),Q13/ABS(G13),0)</f>
        <v/>
      </c>
      <c r="P13" s="32">
        <f>IF(AND(B13="SELL",D13&gt;0),R13/D13,0)</f>
        <v/>
      </c>
      <c r="Q13" s="33">
        <f>IF(AND(B13="SELL",D13&gt;0,E13&gt;0),(D13/E13)+G13,0)</f>
        <v/>
      </c>
      <c r="R13" s="61">
        <f>IF(B13="SELL",Q13*F13,0)</f>
        <v/>
      </c>
      <c r="S13" s="61">
        <f>S12+R13</f>
        <v/>
      </c>
    </row>
    <row r="14" ht="15.75" customHeight="1" s="94">
      <c r="A14" s="14" t="n"/>
      <c r="B14" s="14">
        <f>IF(D14="","",IF(G14&lt;0,"SELL","BUY"))</f>
        <v/>
      </c>
      <c r="C14" s="14" t="n"/>
      <c r="D14" s="14" t="n"/>
      <c r="E14" s="14" t="n"/>
      <c r="F14" s="14" t="n"/>
      <c r="G14" s="14" t="n"/>
      <c r="H14" s="19" t="n">
        <v>-0.06</v>
      </c>
      <c r="I14" s="19">
        <f>I13+G14+H14</f>
        <v/>
      </c>
      <c r="J14" s="14" t="n"/>
      <c r="K14" s="20">
        <f>IF(AND(B14="SELL",E14&gt;0,J14&lt;&gt;""),J14/E14,0)</f>
        <v/>
      </c>
      <c r="L14" s="14" t="n"/>
      <c r="M14" s="18">
        <f>IF(AND(B14="SELL",L14&gt;0),D14*L14,0)</f>
        <v/>
      </c>
      <c r="N14" s="14" t="n"/>
      <c r="O14" s="21">
        <f>IF(AND(B14="SELL",G14&lt;&gt;0),Q14/ABS(G14),0)</f>
        <v/>
      </c>
      <c r="P14" s="21">
        <f>IF(AND(B14="SELL",D14&gt;0),R14/D14,0)</f>
        <v/>
      </c>
      <c r="Q14" s="22">
        <f>IF(AND(B14="SELL",D14&gt;0,E14&gt;0),(D14/E14)+G14,0)</f>
        <v/>
      </c>
      <c r="R14" s="60">
        <f>IF(B14="SELL",Q14*F14,0)</f>
        <v/>
      </c>
      <c r="S14" s="60">
        <f>S13+R14</f>
        <v/>
      </c>
    </row>
    <row r="15" ht="15.75" customHeight="1" s="94">
      <c r="A15" s="25" t="n"/>
      <c r="B15" s="25">
        <f>IF(D15="","",IF(G15&lt;0,"SELL","BUY"))</f>
        <v/>
      </c>
      <c r="C15" s="25" t="n"/>
      <c r="D15" s="25" t="n"/>
      <c r="E15" s="25" t="n"/>
      <c r="F15" s="25" t="n"/>
      <c r="G15" s="25" t="n"/>
      <c r="H15" s="30" t="n">
        <v>-0.06</v>
      </c>
      <c r="I15" s="30">
        <f>I14+G15+H15</f>
        <v/>
      </c>
      <c r="J15" s="25" t="n"/>
      <c r="K15" s="31">
        <f>IF(AND(B15="SELL",E15&gt;0,J15&lt;&gt;""),J15/E15,0)</f>
        <v/>
      </c>
      <c r="L15" s="25" t="n"/>
      <c r="M15" s="29">
        <f>IF(AND(B15="SELL",L15&gt;0),D15*L15,0)</f>
        <v/>
      </c>
      <c r="N15" s="25" t="n"/>
      <c r="O15" s="32">
        <f>IF(AND(B15="SELL",G15&lt;&gt;0),Q15/ABS(G15),0)</f>
        <v/>
      </c>
      <c r="P15" s="32">
        <f>IF(AND(B15="SELL",D15&gt;0),R15/D15,0)</f>
        <v/>
      </c>
      <c r="Q15" s="33">
        <f>IF(AND(B15="SELL",D15&gt;0,E15&gt;0),(D15/E15)+G15,0)</f>
        <v/>
      </c>
      <c r="R15" s="61">
        <f>IF(B15="SELL",Q15*F15,0)</f>
        <v/>
      </c>
      <c r="S15" s="61">
        <f>S14+R15</f>
        <v/>
      </c>
    </row>
    <row r="16" ht="15.75" customHeight="1" s="94">
      <c r="A16" s="14" t="n"/>
      <c r="B16" s="14">
        <f>IF(D16="","",IF(G16&lt;0,"SELL","BUY"))</f>
        <v/>
      </c>
      <c r="C16" s="14" t="n"/>
      <c r="D16" s="14" t="n"/>
      <c r="E16" s="14" t="n"/>
      <c r="F16" s="14" t="n"/>
      <c r="G16" s="14" t="n"/>
      <c r="H16" s="19" t="n">
        <v>-0.06</v>
      </c>
      <c r="I16" s="19">
        <f>I15+G16+H16</f>
        <v/>
      </c>
      <c r="J16" s="14" t="n"/>
      <c r="K16" s="20">
        <f>IF(AND(B16="SELL",E16&gt;0,J16&lt;&gt;""),J16/E16,0)</f>
        <v/>
      </c>
      <c r="L16" s="14" t="n"/>
      <c r="M16" s="18">
        <f>IF(AND(B16="SELL",L16&gt;0),D16*L16,0)</f>
        <v/>
      </c>
      <c r="N16" s="14" t="n"/>
      <c r="O16" s="21">
        <f>IF(AND(B16="SELL",G16&lt;&gt;0),Q16/ABS(G16),0)</f>
        <v/>
      </c>
      <c r="P16" s="21">
        <f>IF(AND(B16="SELL",D16&gt;0),R16/D16,0)</f>
        <v/>
      </c>
      <c r="Q16" s="22">
        <f>IF(AND(B16="SELL",D16&gt;0,E16&gt;0),(D16/E16)+G16,0)</f>
        <v/>
      </c>
      <c r="R16" s="60">
        <f>IF(B16="SELL",Q16*F16,0)</f>
        <v/>
      </c>
      <c r="S16" s="60">
        <f>S15+R16</f>
        <v/>
      </c>
    </row>
    <row r="17" ht="15.75" customHeight="1" s="94">
      <c r="A17" s="25" t="n"/>
      <c r="B17" s="25">
        <f>IF(D17="","",IF(G17&lt;0,"SELL","BUY"))</f>
        <v/>
      </c>
      <c r="C17" s="25" t="n"/>
      <c r="D17" s="25" t="n"/>
      <c r="E17" s="25" t="n"/>
      <c r="F17" s="25" t="n"/>
      <c r="G17" s="25" t="n"/>
      <c r="H17" s="30" t="n">
        <v>-0.06</v>
      </c>
      <c r="I17" s="30">
        <f>I16+G17+H17</f>
        <v/>
      </c>
      <c r="J17" s="25" t="n"/>
      <c r="K17" s="31">
        <f>IF(AND(B17="SELL",E17&gt;0,J17&lt;&gt;""),J17/E17,0)</f>
        <v/>
      </c>
      <c r="L17" s="25" t="n"/>
      <c r="M17" s="29">
        <f>IF(AND(B17="SELL",L17&gt;0),D17*L17,0)</f>
        <v/>
      </c>
      <c r="N17" s="25" t="n"/>
      <c r="O17" s="32">
        <f>IF(AND(B17="SELL",G17&lt;&gt;0),Q17/ABS(G17),0)</f>
        <v/>
      </c>
      <c r="P17" s="32">
        <f>IF(AND(B17="SELL",D17&gt;0),R17/D17,0)</f>
        <v/>
      </c>
      <c r="Q17" s="33">
        <f>IF(AND(B17="SELL",D17&gt;0,E17&gt;0),(D17/E17)+G17,0)</f>
        <v/>
      </c>
      <c r="R17" s="61">
        <f>IF(B17="SELL",Q17*F17,0)</f>
        <v/>
      </c>
      <c r="S17" s="61">
        <f>S16+R17</f>
        <v/>
      </c>
    </row>
    <row r="18" ht="15.75" customHeight="1" s="94">
      <c r="A18" s="14" t="n"/>
      <c r="B18" s="14">
        <f>IF(D18="","",IF(G18&lt;0,"SELL","BUY"))</f>
        <v/>
      </c>
      <c r="C18" s="14" t="n"/>
      <c r="D18" s="14" t="n"/>
      <c r="E18" s="14" t="n"/>
      <c r="F18" s="14" t="n"/>
      <c r="G18" s="14" t="n"/>
      <c r="H18" s="19" t="n">
        <v>-0.06</v>
      </c>
      <c r="I18" s="19">
        <f>I17+G18+H18</f>
        <v/>
      </c>
      <c r="J18" s="14" t="n"/>
      <c r="K18" s="20">
        <f>IF(AND(B18="SELL",E18&gt;0,J18&lt;&gt;""),J18/E18,0)</f>
        <v/>
      </c>
      <c r="L18" s="14" t="n"/>
      <c r="M18" s="18">
        <f>IF(AND(B18="SELL",L18&gt;0),D18*L18,0)</f>
        <v/>
      </c>
      <c r="N18" s="14" t="n"/>
      <c r="O18" s="21">
        <f>IF(AND(B18="SELL",G18&lt;&gt;0),Q18/ABS(G18),0)</f>
        <v/>
      </c>
      <c r="P18" s="21">
        <f>IF(AND(B18="SELL",D18&gt;0),R18/D18,0)</f>
        <v/>
      </c>
      <c r="Q18" s="22">
        <f>IF(AND(B18="SELL",D18&gt;0,E18&gt;0),(D18/E18)+G18,0)</f>
        <v/>
      </c>
      <c r="R18" s="60">
        <f>IF(B18="SELL",Q18*F18,0)</f>
        <v/>
      </c>
      <c r="S18" s="60">
        <f>S17+R18</f>
        <v/>
      </c>
    </row>
    <row r="19" ht="15.75" customHeight="1" s="94">
      <c r="A19" s="25" t="n"/>
      <c r="B19" s="25">
        <f>IF(D19="","",IF(G19&lt;0,"SELL","BUY"))</f>
        <v/>
      </c>
      <c r="C19" s="25" t="n"/>
      <c r="D19" s="25" t="n"/>
      <c r="E19" s="25" t="n"/>
      <c r="F19" s="25" t="n"/>
      <c r="G19" s="25" t="n"/>
      <c r="H19" s="30" t="n">
        <v>-0.06</v>
      </c>
      <c r="I19" s="30">
        <f>I18+G19+H19</f>
        <v/>
      </c>
      <c r="J19" s="25" t="n"/>
      <c r="K19" s="31">
        <f>IF(AND(B19="SELL",E19&gt;0,J19&lt;&gt;""),J19/E19,0)</f>
        <v/>
      </c>
      <c r="L19" s="25" t="n"/>
      <c r="M19" s="29">
        <f>IF(AND(B19="SELL",L19&gt;0),D19*L19,0)</f>
        <v/>
      </c>
      <c r="N19" s="25" t="n"/>
      <c r="O19" s="32">
        <f>IF(AND(B19="SELL",G19&lt;&gt;0),Q19/ABS(G19),0)</f>
        <v/>
      </c>
      <c r="P19" s="32">
        <f>IF(AND(B19="SELL",D19&gt;0),R19/D19,0)</f>
        <v/>
      </c>
      <c r="Q19" s="33">
        <f>IF(AND(B19="SELL",D19&gt;0,E19&gt;0),(D19/E19)+G19,0)</f>
        <v/>
      </c>
      <c r="R19" s="61">
        <f>IF(B19="SELL",Q19*F19,0)</f>
        <v/>
      </c>
      <c r="S19" s="61">
        <f>S18+R19</f>
        <v/>
      </c>
    </row>
    <row r="20" ht="15.75" customHeight="1" s="94">
      <c r="A20" s="14" t="n"/>
      <c r="B20" s="14">
        <f>IF(D20="","",IF(G20&lt;0,"SELL","BUY"))</f>
        <v/>
      </c>
      <c r="C20" s="14" t="n"/>
      <c r="D20" s="14" t="n"/>
      <c r="E20" s="14" t="n"/>
      <c r="F20" s="14" t="n"/>
      <c r="G20" s="14" t="n"/>
      <c r="H20" s="19" t="n">
        <v>-0.06</v>
      </c>
      <c r="I20" s="19">
        <f>I19+G20+H20</f>
        <v/>
      </c>
      <c r="J20" s="14" t="n"/>
      <c r="K20" s="20">
        <f>IF(AND(B20="SELL",E20&gt;0,J20&lt;&gt;""),J20/E20,0)</f>
        <v/>
      </c>
      <c r="L20" s="14" t="n"/>
      <c r="M20" s="18">
        <f>IF(AND(B20="SELL",L20&gt;0),D20*L20,0)</f>
        <v/>
      </c>
      <c r="N20" s="14" t="n"/>
      <c r="O20" s="21">
        <f>IF(AND(B20="SELL",G20&lt;&gt;0),Q20/ABS(G20),0)</f>
        <v/>
      </c>
      <c r="P20" s="21">
        <f>IF(AND(B20="SELL",D20&gt;0),R20/D20,0)</f>
        <v/>
      </c>
      <c r="Q20" s="22">
        <f>IF(AND(B20="SELL",D20&gt;0,E20&gt;0),(D20/E20)+G20,0)</f>
        <v/>
      </c>
      <c r="R20" s="60">
        <f>IF(B20="SELL",Q20*F20,0)</f>
        <v/>
      </c>
      <c r="S20" s="60">
        <f>S19+R20</f>
        <v/>
      </c>
    </row>
    <row r="21" ht="15.75" customHeight="1" s="94">
      <c r="A21" s="25" t="n"/>
      <c r="B21" s="25">
        <f>IF(D21="","",IF(G21&lt;0,"SELL","BUY"))</f>
        <v/>
      </c>
      <c r="C21" s="25" t="n"/>
      <c r="D21" s="25" t="n"/>
      <c r="E21" s="25" t="n"/>
      <c r="F21" s="25" t="n"/>
      <c r="G21" s="25" t="n"/>
      <c r="H21" s="30" t="n">
        <v>-0.06</v>
      </c>
      <c r="I21" s="30">
        <f>I20+G21+H21</f>
        <v/>
      </c>
      <c r="J21" s="25" t="n"/>
      <c r="K21" s="31">
        <f>IF(AND(B21="SELL",E21&gt;0,J21&lt;&gt;""),J21/E21,0)</f>
        <v/>
      </c>
      <c r="L21" s="25" t="n"/>
      <c r="M21" s="29">
        <f>IF(AND(B21="SELL",L21&gt;0),D21*L21,0)</f>
        <v/>
      </c>
      <c r="N21" s="25" t="n"/>
      <c r="O21" s="32">
        <f>IF(AND(B21="SELL",G21&lt;&gt;0),Q21/ABS(G21),0)</f>
        <v/>
      </c>
      <c r="P21" s="32">
        <f>IF(AND(B21="SELL",D21&gt;0),R21/D21,0)</f>
        <v/>
      </c>
      <c r="Q21" s="33">
        <f>IF(AND(B21="SELL",D21&gt;0,E21&gt;0),(D21/E21)+G21,0)</f>
        <v/>
      </c>
      <c r="R21" s="61">
        <f>IF(B21="SELL",Q21*F21,0)</f>
        <v/>
      </c>
      <c r="S21" s="61">
        <f>S20+R21</f>
        <v/>
      </c>
    </row>
    <row r="22" ht="15.75" customHeight="1" s="94">
      <c r="A22" s="14" t="n"/>
      <c r="B22" s="14">
        <f>IF(D22="","",IF(G22&lt;0,"SELL","BUY"))</f>
        <v/>
      </c>
      <c r="C22" s="14" t="n"/>
      <c r="D22" s="14" t="n"/>
      <c r="E22" s="14" t="n"/>
      <c r="F22" s="14" t="n"/>
      <c r="G22" s="14" t="n"/>
      <c r="H22" s="19" t="n">
        <v>-0.06</v>
      </c>
      <c r="I22" s="19">
        <f>I21+G22+H22</f>
        <v/>
      </c>
      <c r="J22" s="14" t="n"/>
      <c r="K22" s="20">
        <f>IF(AND(B22="SELL",E22&gt;0,J22&lt;&gt;""),J22/E22,0)</f>
        <v/>
      </c>
      <c r="L22" s="14" t="n"/>
      <c r="M22" s="18">
        <f>IF(AND(B22="SELL",L22&gt;0),D22*L22,0)</f>
        <v/>
      </c>
      <c r="N22" s="14" t="n"/>
      <c r="O22" s="21">
        <f>IF(AND(B22="SELL",G22&lt;&gt;0),Q22/ABS(G22),0)</f>
        <v/>
      </c>
      <c r="P22" s="21">
        <f>IF(AND(B22="SELL",D22&gt;0),R22/D22,0)</f>
        <v/>
      </c>
      <c r="Q22" s="22">
        <f>IF(AND(B22="SELL",D22&gt;0,E22&gt;0),(D22/E22)+G22,0)</f>
        <v/>
      </c>
      <c r="R22" s="60">
        <f>IF(B22="SELL",Q22*F22,0)</f>
        <v/>
      </c>
      <c r="S22" s="60">
        <f>S21+R22</f>
        <v/>
      </c>
    </row>
    <row r="23" ht="15.75" customHeight="1" s="94">
      <c r="A23" s="25" t="n"/>
      <c r="B23" s="25">
        <f>IF(D23="","",IF(G23&lt;0,"SELL","BUY"))</f>
        <v/>
      </c>
      <c r="C23" s="25" t="n"/>
      <c r="D23" s="25" t="n"/>
      <c r="E23" s="25" t="n"/>
      <c r="F23" s="25" t="n"/>
      <c r="G23" s="25" t="n"/>
      <c r="H23" s="30" t="n">
        <v>-0.06</v>
      </c>
      <c r="I23" s="30">
        <f>I22+G23+H23</f>
        <v/>
      </c>
      <c r="J23" s="25" t="n"/>
      <c r="K23" s="31">
        <f>IF(AND(B23="SELL",E23&gt;0,J23&lt;&gt;""),J23/E23,0)</f>
        <v/>
      </c>
      <c r="L23" s="25" t="n"/>
      <c r="M23" s="29">
        <f>IF(AND(B23="SELL",L23&gt;0),D23*L23,0)</f>
        <v/>
      </c>
      <c r="N23" s="25" t="n"/>
      <c r="O23" s="32">
        <f>IF(AND(B23="SELL",G23&lt;&gt;0),Q23/ABS(G23),0)</f>
        <v/>
      </c>
      <c r="P23" s="32">
        <f>IF(AND(B23="SELL",D23&gt;0),R23/D23,0)</f>
        <v/>
      </c>
      <c r="Q23" s="33">
        <f>IF(AND(B23="SELL",D23&gt;0,E23&gt;0),(D23/E23)+G23,0)</f>
        <v/>
      </c>
      <c r="R23" s="61">
        <f>IF(B23="SELL",Q23*F23,0)</f>
        <v/>
      </c>
      <c r="S23" s="61">
        <f>S22+R23</f>
        <v/>
      </c>
    </row>
    <row r="24" ht="15.75" customHeight="1" s="94">
      <c r="A24" s="14" t="n"/>
      <c r="B24" s="14">
        <f>IF(D24="","",IF(G24&lt;0,"SELL","BUY"))</f>
        <v/>
      </c>
      <c r="C24" s="14" t="n"/>
      <c r="D24" s="14" t="n"/>
      <c r="E24" s="14" t="n"/>
      <c r="F24" s="14" t="n"/>
      <c r="G24" s="14" t="n"/>
      <c r="H24" s="19" t="n">
        <v>-0.06</v>
      </c>
      <c r="I24" s="19">
        <f>I23+G24+H24</f>
        <v/>
      </c>
      <c r="J24" s="14" t="n"/>
      <c r="K24" s="20">
        <f>IF(AND(B24="SELL",E24&gt;0,J24&lt;&gt;""),J24/E24,0)</f>
        <v/>
      </c>
      <c r="L24" s="14" t="n"/>
      <c r="M24" s="18">
        <f>IF(AND(B24="SELL",L24&gt;0),D24*L24,0)</f>
        <v/>
      </c>
      <c r="N24" s="14" t="n"/>
      <c r="O24" s="21">
        <f>IF(AND(B24="SELL",G24&lt;&gt;0),Q24/ABS(G24),0)</f>
        <v/>
      </c>
      <c r="P24" s="21">
        <f>IF(AND(B24="SELL",D24&gt;0),R24/D24,0)</f>
        <v/>
      </c>
      <c r="Q24" s="22">
        <f>IF(AND(B24="SELL",D24&gt;0,E24&gt;0),(D24/E24)+G24,0)</f>
        <v/>
      </c>
      <c r="R24" s="60">
        <f>IF(B24="SELL",Q24*F24,0)</f>
        <v/>
      </c>
      <c r="S24" s="60">
        <f>S23+R24</f>
        <v/>
      </c>
    </row>
    <row r="25" ht="15.75" customHeight="1" s="94">
      <c r="A25" s="25" t="n"/>
      <c r="B25" s="25">
        <f>IF(D25="","",IF(G25&lt;0,"SELL","BUY"))</f>
        <v/>
      </c>
      <c r="C25" s="25" t="n"/>
      <c r="D25" s="25" t="n"/>
      <c r="E25" s="25" t="n"/>
      <c r="F25" s="25" t="n"/>
      <c r="G25" s="25" t="n"/>
      <c r="H25" s="30" t="n">
        <v>-0.06</v>
      </c>
      <c r="I25" s="30">
        <f>I24+G25+H25</f>
        <v/>
      </c>
      <c r="J25" s="25" t="n"/>
      <c r="K25" s="31">
        <f>IF(AND(B25="SELL",E25&gt;0,J25&lt;&gt;""),J25/E25,0)</f>
        <v/>
      </c>
      <c r="L25" s="25" t="n"/>
      <c r="M25" s="29">
        <f>IF(AND(B25="SELL",L25&gt;0),D25*L25,0)</f>
        <v/>
      </c>
      <c r="N25" s="25" t="n"/>
      <c r="O25" s="32">
        <f>IF(AND(B25="SELL",G25&lt;&gt;0),Q25/ABS(G25),0)</f>
        <v/>
      </c>
      <c r="P25" s="32">
        <f>IF(AND(B25="SELL",D25&gt;0),R25/D25,0)</f>
        <v/>
      </c>
      <c r="Q25" s="33">
        <f>IF(AND(B25="SELL",D25&gt;0,E25&gt;0),(D25/E25)+G25,0)</f>
        <v/>
      </c>
      <c r="R25" s="61">
        <f>IF(B25="SELL",Q25*F25,0)</f>
        <v/>
      </c>
      <c r="S25" s="61">
        <f>S24+R25</f>
        <v/>
      </c>
    </row>
    <row r="26" ht="15.75" customHeight="1" s="94">
      <c r="A26" s="14" t="n"/>
      <c r="B26" s="14">
        <f>IF(D26="","",IF(G26&lt;0,"SELL","BUY"))</f>
        <v/>
      </c>
      <c r="C26" s="14" t="n"/>
      <c r="D26" s="14" t="n"/>
      <c r="E26" s="14" t="n"/>
      <c r="F26" s="14" t="n"/>
      <c r="G26" s="14" t="n"/>
      <c r="H26" s="19" t="n">
        <v>-0.06</v>
      </c>
      <c r="I26" s="19">
        <f>I25+G26+H26</f>
        <v/>
      </c>
      <c r="J26" s="14" t="n"/>
      <c r="K26" s="20">
        <f>IF(AND(B26="SELL",E26&gt;0,J26&lt;&gt;""),J26/E26,0)</f>
        <v/>
      </c>
      <c r="L26" s="14" t="n"/>
      <c r="M26" s="18">
        <f>IF(AND(B26="SELL",L26&gt;0),D26*L26,0)</f>
        <v/>
      </c>
      <c r="N26" s="14" t="n"/>
      <c r="O26" s="21">
        <f>IF(AND(B26="SELL",G26&lt;&gt;0),Q26/ABS(G26),0)</f>
        <v/>
      </c>
      <c r="P26" s="21">
        <f>IF(AND(B26="SELL",D26&gt;0),R26/D26,0)</f>
        <v/>
      </c>
      <c r="Q26" s="22">
        <f>IF(AND(B26="SELL",D26&gt;0,E26&gt;0),(D26/E26)+G26,0)</f>
        <v/>
      </c>
      <c r="R26" s="60">
        <f>IF(B26="SELL",Q26*F26,0)</f>
        <v/>
      </c>
      <c r="S26" s="60">
        <f>S25+R26</f>
        <v/>
      </c>
    </row>
    <row r="27" ht="15.75" customHeight="1" s="94">
      <c r="A27" s="25" t="n"/>
      <c r="B27" s="25">
        <f>IF(D27="","",IF(G27&lt;0,"SELL","BUY"))</f>
        <v/>
      </c>
      <c r="C27" s="25" t="n"/>
      <c r="D27" s="25" t="n"/>
      <c r="E27" s="25" t="n"/>
      <c r="F27" s="25" t="n"/>
      <c r="G27" s="25" t="n"/>
      <c r="H27" s="30" t="n">
        <v>-0.06</v>
      </c>
      <c r="I27" s="30">
        <f>I26+G27+H27</f>
        <v/>
      </c>
      <c r="J27" s="25" t="n"/>
      <c r="K27" s="31">
        <f>IF(AND(B27="SELL",E27&gt;0,J27&lt;&gt;""),J27/E27,0)</f>
        <v/>
      </c>
      <c r="L27" s="25" t="n"/>
      <c r="M27" s="29">
        <f>IF(AND(B27="SELL",L27&gt;0),D27*L27,0)</f>
        <v/>
      </c>
      <c r="N27" s="25" t="n"/>
      <c r="O27" s="32">
        <f>IF(AND(B27="SELL",G27&lt;&gt;0),Q27/ABS(G27),0)</f>
        <v/>
      </c>
      <c r="P27" s="32">
        <f>IF(AND(B27="SELL",D27&gt;0),R27/D27,0)</f>
        <v/>
      </c>
      <c r="Q27" s="33">
        <f>IF(AND(B27="SELL",D27&gt;0,E27&gt;0),(D27/E27)+G27,0)</f>
        <v/>
      </c>
      <c r="R27" s="61">
        <f>IF(B27="SELL",Q27*F27,0)</f>
        <v/>
      </c>
      <c r="S27" s="61">
        <f>S26+R27</f>
        <v/>
      </c>
    </row>
    <row r="28" ht="15.75" customHeight="1" s="94">
      <c r="A28" s="14" t="n"/>
      <c r="B28" s="14">
        <f>IF(D28="","",IF(G28&lt;0,"SELL","BUY"))</f>
        <v/>
      </c>
      <c r="C28" s="14" t="n"/>
      <c r="D28" s="14" t="n"/>
      <c r="E28" s="14" t="n"/>
      <c r="F28" s="14" t="n"/>
      <c r="G28" s="14" t="n"/>
      <c r="H28" s="19" t="n">
        <v>-0.06</v>
      </c>
      <c r="I28" s="19">
        <f>I27+G28+H28</f>
        <v/>
      </c>
      <c r="J28" s="14" t="n"/>
      <c r="K28" s="20">
        <f>IF(AND(B28="SELL",E28&gt;0,J28&lt;&gt;""),J28/E28,0)</f>
        <v/>
      </c>
      <c r="L28" s="14" t="n"/>
      <c r="M28" s="18">
        <f>IF(AND(B28="SELL",L28&gt;0),D28*L28,0)</f>
        <v/>
      </c>
      <c r="N28" s="14" t="n"/>
      <c r="O28" s="21">
        <f>IF(AND(B28="SELL",G28&lt;&gt;0),Q28/ABS(G28),0)</f>
        <v/>
      </c>
      <c r="P28" s="21">
        <f>IF(AND(B28="SELL",D28&gt;0),R28/D28,0)</f>
        <v/>
      </c>
      <c r="Q28" s="22">
        <f>IF(AND(B28="SELL",D28&gt;0,E28&gt;0),(D28/E28)+G28,0)</f>
        <v/>
      </c>
      <c r="R28" s="60">
        <f>IF(B28="SELL",Q28*F28,0)</f>
        <v/>
      </c>
      <c r="S28" s="60">
        <f>S27+R28</f>
        <v/>
      </c>
    </row>
    <row r="29" ht="15.75" customHeight="1" s="94">
      <c r="A29" s="25" t="n"/>
      <c r="B29" s="25">
        <f>IF(D29="","",IF(G29&lt;0,"SELL","BUY"))</f>
        <v/>
      </c>
      <c r="C29" s="25" t="n"/>
      <c r="D29" s="25" t="n"/>
      <c r="E29" s="25" t="n"/>
      <c r="F29" s="25" t="n"/>
      <c r="G29" s="25" t="n"/>
      <c r="H29" s="30" t="n">
        <v>-0.06</v>
      </c>
      <c r="I29" s="30">
        <f>I28+G29+H29</f>
        <v/>
      </c>
      <c r="J29" s="25" t="n"/>
      <c r="K29" s="31">
        <f>IF(AND(B29="SELL",E29&gt;0,J29&lt;&gt;""),J29/E29,0)</f>
        <v/>
      </c>
      <c r="L29" s="25" t="n"/>
      <c r="M29" s="29">
        <f>IF(AND(B29="SELL",L29&gt;0),D29*L29,0)</f>
        <v/>
      </c>
      <c r="N29" s="25" t="n"/>
      <c r="O29" s="32">
        <f>IF(AND(B29="SELL",G29&lt;&gt;0),Q29/ABS(G29),0)</f>
        <v/>
      </c>
      <c r="P29" s="32">
        <f>IF(AND(B29="SELL",D29&gt;0),R29/D29,0)</f>
        <v/>
      </c>
      <c r="Q29" s="33">
        <f>IF(AND(B29="SELL",D29&gt;0,E29&gt;0),(D29/E29)+G29,0)</f>
        <v/>
      </c>
      <c r="R29" s="61">
        <f>IF(B29="SELL",Q29*F29,0)</f>
        <v/>
      </c>
      <c r="S29" s="61">
        <f>S28+R29</f>
        <v/>
      </c>
    </row>
    <row r="30" ht="15.75" customHeight="1" s="94">
      <c r="A30" s="14" t="n"/>
      <c r="B30" s="14">
        <f>IF(D30="","",IF(G30&lt;0,"SELL","BUY"))</f>
        <v/>
      </c>
      <c r="C30" s="14" t="n"/>
      <c r="D30" s="14" t="n"/>
      <c r="E30" s="14" t="n"/>
      <c r="F30" s="14" t="n"/>
      <c r="G30" s="14" t="n"/>
      <c r="H30" s="19" t="n">
        <v>-0.06</v>
      </c>
      <c r="I30" s="19">
        <f>I29+G30+H30</f>
        <v/>
      </c>
      <c r="J30" s="14" t="n"/>
      <c r="K30" s="20">
        <f>IF(AND(B30="SELL",E30&gt;0,J30&lt;&gt;""),J30/E30,0)</f>
        <v/>
      </c>
      <c r="L30" s="14" t="n"/>
      <c r="M30" s="18">
        <f>IF(AND(B30="SELL",L30&gt;0),D30*L30,0)</f>
        <v/>
      </c>
      <c r="N30" s="14" t="n"/>
      <c r="O30" s="21">
        <f>IF(AND(B30="SELL",G30&lt;&gt;0),Q30/ABS(G30),0)</f>
        <v/>
      </c>
      <c r="P30" s="21">
        <f>IF(AND(B30="SELL",D30&gt;0),R30/D30,0)</f>
        <v/>
      </c>
      <c r="Q30" s="22">
        <f>IF(AND(B30="SELL",D30&gt;0,E30&gt;0),(D30/E30)+G30,0)</f>
        <v/>
      </c>
      <c r="R30" s="60">
        <f>IF(B30="SELL",Q30*F30,0)</f>
        <v/>
      </c>
      <c r="S30" s="60">
        <f>S29+R30</f>
        <v/>
      </c>
    </row>
    <row r="31" ht="15.75" customHeight="1" s="94">
      <c r="A31" s="25" t="n"/>
      <c r="B31" s="25">
        <f>IF(D31="","",IF(G31&lt;0,"SELL","BUY"))</f>
        <v/>
      </c>
      <c r="C31" s="25" t="n"/>
      <c r="D31" s="25" t="n"/>
      <c r="E31" s="25" t="n"/>
      <c r="F31" s="25" t="n"/>
      <c r="G31" s="25" t="n"/>
      <c r="H31" s="30" t="n">
        <v>-0.06</v>
      </c>
      <c r="I31" s="30">
        <f>I30+G31+H31</f>
        <v/>
      </c>
      <c r="J31" s="25" t="n"/>
      <c r="K31" s="31">
        <f>IF(AND(B31="SELL",E31&gt;0,J31&lt;&gt;""),J31/E31,0)</f>
        <v/>
      </c>
      <c r="L31" s="25" t="n"/>
      <c r="M31" s="29">
        <f>IF(AND(B31="SELL",L31&gt;0),D31*L31,0)</f>
        <v/>
      </c>
      <c r="N31" s="25" t="n"/>
      <c r="O31" s="32">
        <f>IF(AND(B31="SELL",G31&lt;&gt;0),Q31/ABS(G31),0)</f>
        <v/>
      </c>
      <c r="P31" s="32">
        <f>IF(AND(B31="SELL",D31&gt;0),R31/D31,0)</f>
        <v/>
      </c>
      <c r="Q31" s="33">
        <f>IF(AND(B31="SELL",D31&gt;0,E31&gt;0),(D31/E31)+G31,0)</f>
        <v/>
      </c>
      <c r="R31" s="61">
        <f>IF(B31="SELL",Q31*F31,0)</f>
        <v/>
      </c>
      <c r="S31" s="61">
        <f>S30+R31</f>
        <v/>
      </c>
    </row>
    <row r="32" ht="15.75" customHeight="1" s="94">
      <c r="A32" s="14" t="n"/>
      <c r="B32" s="14">
        <f>IF(D32="","",IF(G32&lt;0,"SELL","BUY"))</f>
        <v/>
      </c>
      <c r="C32" s="14" t="n"/>
      <c r="D32" s="14" t="n"/>
      <c r="E32" s="14" t="n"/>
      <c r="F32" s="14" t="n"/>
      <c r="G32" s="14" t="n"/>
      <c r="H32" s="19" t="n">
        <v>-0.06</v>
      </c>
      <c r="I32" s="19">
        <f>I31+G32+H32</f>
        <v/>
      </c>
      <c r="J32" s="14" t="n"/>
      <c r="K32" s="20">
        <f>IF(AND(B32="SELL",E32&gt;0,J32&lt;&gt;""),J32/E32,0)</f>
        <v/>
      </c>
      <c r="L32" s="14" t="n"/>
      <c r="M32" s="18">
        <f>IF(AND(B32="SELL",L32&gt;0),D32*L32,0)</f>
        <v/>
      </c>
      <c r="N32" s="14" t="n"/>
      <c r="O32" s="21">
        <f>IF(AND(B32="SELL",G32&lt;&gt;0),Q32/ABS(G32),0)</f>
        <v/>
      </c>
      <c r="P32" s="21">
        <f>IF(AND(B32="SELL",D32&gt;0),R32/D32,0)</f>
        <v/>
      </c>
      <c r="Q32" s="22">
        <f>IF(AND(B32="SELL",D32&gt;0,E32&gt;0),(D32/E32)+G32,0)</f>
        <v/>
      </c>
      <c r="R32" s="60">
        <f>IF(B32="SELL",Q32*F32,0)</f>
        <v/>
      </c>
      <c r="S32" s="60">
        <f>S31+R32</f>
        <v/>
      </c>
    </row>
    <row r="33" ht="15.75" customHeight="1" s="94">
      <c r="A33" s="25" t="n"/>
      <c r="B33" s="25">
        <f>IF(D33="","",IF(G33&lt;0,"SELL","BUY"))</f>
        <v/>
      </c>
      <c r="C33" s="25" t="n"/>
      <c r="D33" s="25" t="n"/>
      <c r="E33" s="25" t="n"/>
      <c r="F33" s="25" t="n"/>
      <c r="G33" s="25" t="n"/>
      <c r="H33" s="30" t="n">
        <v>-0.06</v>
      </c>
      <c r="I33" s="30">
        <f>I32+G33+H33</f>
        <v/>
      </c>
      <c r="J33" s="25" t="n"/>
      <c r="K33" s="31">
        <f>IF(AND(B33="SELL",E33&gt;0,J33&lt;&gt;""),J33/E33,0)</f>
        <v/>
      </c>
      <c r="L33" s="25" t="n"/>
      <c r="M33" s="29">
        <f>IF(AND(B33="SELL",L33&gt;0),D33*L33,0)</f>
        <v/>
      </c>
      <c r="N33" s="25" t="n"/>
      <c r="O33" s="32">
        <f>IF(AND(B33="SELL",G33&lt;&gt;0),Q33/ABS(G33),0)</f>
        <v/>
      </c>
      <c r="P33" s="32">
        <f>IF(AND(B33="SELL",D33&gt;0),R33/D33,0)</f>
        <v/>
      </c>
      <c r="Q33" s="33">
        <f>IF(AND(B33="SELL",D33&gt;0,E33&gt;0),(D33/E33)+G33,0)</f>
        <v/>
      </c>
      <c r="R33" s="61">
        <f>IF(B33="SELL",Q33*F33,0)</f>
        <v/>
      </c>
      <c r="S33" s="61">
        <f>S32+R33</f>
        <v/>
      </c>
    </row>
    <row r="34" ht="15.75" customHeight="1" s="94">
      <c r="A34" s="14" t="n"/>
      <c r="B34" s="14">
        <f>IF(D34="","",IF(G34&lt;0,"SELL","BUY"))</f>
        <v/>
      </c>
      <c r="C34" s="14" t="n"/>
      <c r="D34" s="14" t="n"/>
      <c r="E34" s="14" t="n"/>
      <c r="F34" s="14" t="n"/>
      <c r="G34" s="14" t="n"/>
      <c r="H34" s="19" t="n">
        <v>-0.06</v>
      </c>
      <c r="I34" s="19">
        <f>I33+G34+H34</f>
        <v/>
      </c>
      <c r="J34" s="14" t="n"/>
      <c r="K34" s="20">
        <f>IF(AND(B34="SELL",E34&gt;0,J34&lt;&gt;""),J34/E34,0)</f>
        <v/>
      </c>
      <c r="L34" s="14" t="n"/>
      <c r="M34" s="18">
        <f>IF(AND(B34="SELL",L34&gt;0),D34*L34,0)</f>
        <v/>
      </c>
      <c r="N34" s="14" t="n"/>
      <c r="O34" s="21">
        <f>IF(AND(B34="SELL",G34&lt;&gt;0),Q34/ABS(G34),0)</f>
        <v/>
      </c>
      <c r="P34" s="21">
        <f>IF(AND(B34="SELL",D34&gt;0),R34/D34,0)</f>
        <v/>
      </c>
      <c r="Q34" s="22">
        <f>IF(AND(B34="SELL",D34&gt;0,E34&gt;0),(D34/E34)+G34,0)</f>
        <v/>
      </c>
      <c r="R34" s="60">
        <f>IF(B34="SELL",Q34*F34,0)</f>
        <v/>
      </c>
      <c r="S34" s="60">
        <f>S33+R34</f>
        <v/>
      </c>
    </row>
    <row r="35" ht="15.75" customHeight="1" s="94">
      <c r="A35" s="25" t="n"/>
      <c r="B35" s="25">
        <f>IF(D35="","",IF(G35&lt;0,"SELL","BUY"))</f>
        <v/>
      </c>
      <c r="C35" s="25" t="n"/>
      <c r="D35" s="25" t="n"/>
      <c r="E35" s="25" t="n"/>
      <c r="F35" s="25" t="n"/>
      <c r="G35" s="25" t="n"/>
      <c r="H35" s="30" t="n">
        <v>-0.06</v>
      </c>
      <c r="I35" s="30">
        <f>I34+G35+H35</f>
        <v/>
      </c>
      <c r="J35" s="25" t="n"/>
      <c r="K35" s="31">
        <f>IF(AND(B35="SELL",E35&gt;0,J35&lt;&gt;""),J35/E35,0)</f>
        <v/>
      </c>
      <c r="L35" s="25" t="n"/>
      <c r="M35" s="29">
        <f>IF(AND(B35="SELL",L35&gt;0),D35*L35,0)</f>
        <v/>
      </c>
      <c r="N35" s="25" t="n"/>
      <c r="O35" s="32">
        <f>IF(AND(B35="SELL",G35&lt;&gt;0),Q35/ABS(G35),0)</f>
        <v/>
      </c>
      <c r="P35" s="32">
        <f>IF(AND(B35="SELL",D35&gt;0),R35/D35,0)</f>
        <v/>
      </c>
      <c r="Q35" s="33">
        <f>IF(AND(B35="SELL",D35&gt;0,E35&gt;0),(D35/E35)+G35,0)</f>
        <v/>
      </c>
      <c r="R35" s="61">
        <f>IF(B35="SELL",Q35*F35,0)</f>
        <v/>
      </c>
      <c r="S35" s="61">
        <f>S34+R35</f>
        <v/>
      </c>
    </row>
    <row r="36" ht="15.75" customHeight="1" s="94">
      <c r="A36" s="14" t="n"/>
      <c r="B36" s="14">
        <f>IF(D36="","",IF(G36&lt;0,"SELL","BUY"))</f>
        <v/>
      </c>
      <c r="C36" s="14" t="n"/>
      <c r="D36" s="14" t="n"/>
      <c r="E36" s="14" t="n"/>
      <c r="F36" s="14" t="n"/>
      <c r="G36" s="14" t="n"/>
      <c r="H36" s="19" t="n">
        <v>-0.06</v>
      </c>
      <c r="I36" s="19">
        <f>I35+G36+H36</f>
        <v/>
      </c>
      <c r="J36" s="14" t="n"/>
      <c r="K36" s="20">
        <f>IF(AND(B36="SELL",E36&gt;0,J36&lt;&gt;""),J36/E36,0)</f>
        <v/>
      </c>
      <c r="L36" s="14" t="n"/>
      <c r="M36" s="18">
        <f>IF(AND(B36="SELL",L36&gt;0),D36*L36,0)</f>
        <v/>
      </c>
      <c r="N36" s="14" t="n"/>
      <c r="O36" s="21">
        <f>IF(AND(B36="SELL",G36&lt;&gt;0),Q36/ABS(G36),0)</f>
        <v/>
      </c>
      <c r="P36" s="21">
        <f>IF(AND(B36="SELL",D36&gt;0),R36/D36,0)</f>
        <v/>
      </c>
      <c r="Q36" s="22">
        <f>IF(AND(B36="SELL",D36&gt;0,E36&gt;0),(D36/E36)+G36,0)</f>
        <v/>
      </c>
      <c r="R36" s="60">
        <f>IF(B36="SELL",Q36*F36,0)</f>
        <v/>
      </c>
      <c r="S36" s="60">
        <f>S35+R36</f>
        <v/>
      </c>
    </row>
    <row r="37" ht="15.75" customHeight="1" s="94">
      <c r="A37" s="25" t="n"/>
      <c r="B37" s="25">
        <f>IF(D37="","",IF(G37&lt;0,"SELL","BUY"))</f>
        <v/>
      </c>
      <c r="C37" s="25" t="n"/>
      <c r="D37" s="25" t="n"/>
      <c r="E37" s="25" t="n"/>
      <c r="F37" s="25" t="n"/>
      <c r="G37" s="25" t="n"/>
      <c r="H37" s="30" t="n">
        <v>-0.06</v>
      </c>
      <c r="I37" s="30">
        <f>I36+G37+H37</f>
        <v/>
      </c>
      <c r="J37" s="25" t="n"/>
      <c r="K37" s="31">
        <f>IF(AND(B37="SELL",E37&gt;0,J37&lt;&gt;""),J37/E37,0)</f>
        <v/>
      </c>
      <c r="L37" s="25" t="n"/>
      <c r="M37" s="29">
        <f>IF(AND(B37="SELL",L37&gt;0),D37*L37,0)</f>
        <v/>
      </c>
      <c r="N37" s="25" t="n"/>
      <c r="O37" s="32">
        <f>IF(AND(B37="SELL",G37&lt;&gt;0),Q37/ABS(G37),0)</f>
        <v/>
      </c>
      <c r="P37" s="32">
        <f>IF(AND(B37="SELL",D37&gt;0),R37/D37,0)</f>
        <v/>
      </c>
      <c r="Q37" s="33">
        <f>IF(AND(B37="SELL",D37&gt;0,E37&gt;0),(D37/E37)+G37,0)</f>
        <v/>
      </c>
      <c r="R37" s="61">
        <f>IF(B37="SELL",Q37*F37,0)</f>
        <v/>
      </c>
      <c r="S37" s="61">
        <f>S36+R37</f>
        <v/>
      </c>
    </row>
    <row r="38" ht="15.75" customHeight="1" s="94">
      <c r="A38" s="14" t="n"/>
      <c r="B38" s="14">
        <f>IF(D38="","",IF(G38&lt;0,"SELL","BUY"))</f>
        <v/>
      </c>
      <c r="C38" s="14" t="n"/>
      <c r="D38" s="14" t="n"/>
      <c r="E38" s="14" t="n"/>
      <c r="F38" s="14" t="n"/>
      <c r="G38" s="14" t="n"/>
      <c r="H38" s="19" t="n">
        <v>-0.06</v>
      </c>
      <c r="I38" s="19">
        <f>I37+G38+H38</f>
        <v/>
      </c>
      <c r="J38" s="14" t="n"/>
      <c r="K38" s="20">
        <f>IF(AND(B38="SELL",E38&gt;0,J38&lt;&gt;""),J38/E38,0)</f>
        <v/>
      </c>
      <c r="L38" s="14" t="n"/>
      <c r="M38" s="18">
        <f>IF(AND(B38="SELL",L38&gt;0),D38*L38,0)</f>
        <v/>
      </c>
      <c r="N38" s="14" t="n"/>
      <c r="O38" s="21">
        <f>IF(AND(B38="SELL",G38&lt;&gt;0),Q38/ABS(G38),0)</f>
        <v/>
      </c>
      <c r="P38" s="21">
        <f>IF(AND(B38="SELL",D38&gt;0),R38/D38,0)</f>
        <v/>
      </c>
      <c r="Q38" s="22">
        <f>IF(AND(B38="SELL",D38&gt;0,E38&gt;0),(D38/E38)+G38,0)</f>
        <v/>
      </c>
      <c r="R38" s="60">
        <f>IF(B38="SELL",Q38*F38,0)</f>
        <v/>
      </c>
      <c r="S38" s="60">
        <f>S37+R38</f>
        <v/>
      </c>
    </row>
    <row r="39" ht="15.75" customHeight="1" s="94">
      <c r="A39" s="25" t="n"/>
      <c r="B39" s="25">
        <f>IF(D39="","",IF(G39&lt;0,"SELL","BUY"))</f>
        <v/>
      </c>
      <c r="C39" s="25" t="n"/>
      <c r="D39" s="25" t="n"/>
      <c r="E39" s="25" t="n"/>
      <c r="F39" s="25" t="n"/>
      <c r="G39" s="25" t="n"/>
      <c r="H39" s="30" t="n">
        <v>-0.06</v>
      </c>
      <c r="I39" s="30">
        <f>I38+G39+H39</f>
        <v/>
      </c>
      <c r="J39" s="25" t="n"/>
      <c r="K39" s="31">
        <f>IF(AND(B39="SELL",E39&gt;0,J39&lt;&gt;""),J39/E39,0)</f>
        <v/>
      </c>
      <c r="L39" s="25" t="n"/>
      <c r="M39" s="29">
        <f>IF(AND(B39="SELL",L39&gt;0),D39*L39,0)</f>
        <v/>
      </c>
      <c r="N39" s="25" t="n"/>
      <c r="O39" s="32">
        <f>IF(AND(B39="SELL",G39&lt;&gt;0),Q39/ABS(G39),0)</f>
        <v/>
      </c>
      <c r="P39" s="32">
        <f>IF(AND(B39="SELL",D39&gt;0),R39/D39,0)</f>
        <v/>
      </c>
      <c r="Q39" s="33">
        <f>IF(AND(B39="SELL",D39&gt;0,E39&gt;0),(D39/E39)+G39,0)</f>
        <v/>
      </c>
      <c r="R39" s="61">
        <f>IF(B39="SELL",Q39*F39,0)</f>
        <v/>
      </c>
      <c r="S39" s="61">
        <f>S38+R39</f>
        <v/>
      </c>
    </row>
    <row r="40" ht="15.75" customHeight="1" s="94">
      <c r="A40" s="14" t="n"/>
      <c r="B40" s="14">
        <f>IF(D40="","",IF(G40&lt;0,"SELL","BUY"))</f>
        <v/>
      </c>
      <c r="C40" s="14" t="n"/>
      <c r="D40" s="14" t="n"/>
      <c r="E40" s="14" t="n"/>
      <c r="F40" s="14" t="n"/>
      <c r="G40" s="14" t="n"/>
      <c r="H40" s="19" t="n">
        <v>-0.06</v>
      </c>
      <c r="I40" s="19">
        <f>I39+G40+H40</f>
        <v/>
      </c>
      <c r="J40" s="14" t="n"/>
      <c r="K40" s="20">
        <f>IF(AND(B40="SELL",E40&gt;0,J40&lt;&gt;""),J40/E40,0)</f>
        <v/>
      </c>
      <c r="L40" s="14" t="n"/>
      <c r="M40" s="18">
        <f>IF(AND(B40="SELL",L40&gt;0),D40*L40,0)</f>
        <v/>
      </c>
      <c r="N40" s="14" t="n"/>
      <c r="O40" s="21">
        <f>IF(AND(B40="SELL",G40&lt;&gt;0),Q40/ABS(G40),0)</f>
        <v/>
      </c>
      <c r="P40" s="21">
        <f>IF(AND(B40="SELL",D40&gt;0),R40/D40,0)</f>
        <v/>
      </c>
      <c r="Q40" s="22">
        <f>IF(AND(B40="SELL",D40&gt;0,E40&gt;0),(D40/E40)+G40,0)</f>
        <v/>
      </c>
      <c r="R40" s="60">
        <f>IF(B40="SELL",Q40*F40,0)</f>
        <v/>
      </c>
      <c r="S40" s="60">
        <f>S39+R40</f>
        <v/>
      </c>
    </row>
    <row r="41" ht="15.75" customHeight="1" s="94">
      <c r="A41" s="25" t="n"/>
      <c r="B41" s="25">
        <f>IF(D41="","",IF(G41&lt;0,"SELL","BUY"))</f>
        <v/>
      </c>
      <c r="C41" s="25" t="n"/>
      <c r="D41" s="25" t="n"/>
      <c r="E41" s="25" t="n"/>
      <c r="F41" s="25" t="n"/>
      <c r="G41" s="25" t="n"/>
      <c r="H41" s="30" t="n">
        <v>-0.06</v>
      </c>
      <c r="I41" s="30">
        <f>I40+G41+H41</f>
        <v/>
      </c>
      <c r="J41" s="25" t="n"/>
      <c r="K41" s="31">
        <f>IF(AND(B41="SELL",E41&gt;0,J41&lt;&gt;""),J41/E41,0)</f>
        <v/>
      </c>
      <c r="L41" s="25" t="n"/>
      <c r="M41" s="29">
        <f>IF(AND(B41="SELL",L41&gt;0),D41*L41,0)</f>
        <v/>
      </c>
      <c r="N41" s="25" t="n"/>
      <c r="O41" s="32">
        <f>IF(AND(B41="SELL",G41&lt;&gt;0),Q41/ABS(G41),0)</f>
        <v/>
      </c>
      <c r="P41" s="32">
        <f>IF(AND(B41="SELL",D41&gt;0),R41/D41,0)</f>
        <v/>
      </c>
      <c r="Q41" s="33">
        <f>IF(AND(B41="SELL",D41&gt;0,E41&gt;0),(D41/E41)+G41,0)</f>
        <v/>
      </c>
      <c r="R41" s="61">
        <f>IF(B41="SELL",Q41*F41,0)</f>
        <v/>
      </c>
      <c r="S41" s="61">
        <f>S40+R41</f>
        <v/>
      </c>
    </row>
    <row r="42" ht="15.75" customHeight="1" s="94">
      <c r="A42" s="14" t="n"/>
      <c r="B42" s="14">
        <f>IF(D42="","",IF(G42&lt;0,"SELL","BUY"))</f>
        <v/>
      </c>
      <c r="C42" s="14" t="n"/>
      <c r="D42" s="14" t="n"/>
      <c r="E42" s="14" t="n"/>
      <c r="F42" s="14" t="n"/>
      <c r="G42" s="14" t="n"/>
      <c r="H42" s="19" t="n">
        <v>-0.06</v>
      </c>
      <c r="I42" s="19">
        <f>I41+G42+H42</f>
        <v/>
      </c>
      <c r="J42" s="14" t="n"/>
      <c r="K42" s="20">
        <f>IF(AND(B42="SELL",E42&gt;0,J42&lt;&gt;""),J42/E42,0)</f>
        <v/>
      </c>
      <c r="L42" s="14" t="n"/>
      <c r="M42" s="18">
        <f>IF(AND(B42="SELL",L42&gt;0),D42*L42,0)</f>
        <v/>
      </c>
      <c r="N42" s="14" t="n"/>
      <c r="O42" s="21">
        <f>IF(AND(B42="SELL",G42&lt;&gt;0),Q42/ABS(G42),0)</f>
        <v/>
      </c>
      <c r="P42" s="21">
        <f>IF(AND(B42="SELL",D42&gt;0),R42/D42,0)</f>
        <v/>
      </c>
      <c r="Q42" s="22">
        <f>IF(AND(B42="SELL",D42&gt;0,E42&gt;0),(D42/E42)+G42,0)</f>
        <v/>
      </c>
      <c r="R42" s="60">
        <f>IF(B42="SELL",Q42*F42,0)</f>
        <v/>
      </c>
      <c r="S42" s="60">
        <f>S41+R42</f>
        <v/>
      </c>
    </row>
    <row r="43" ht="15.75" customHeight="1" s="94">
      <c r="A43" s="25" t="n"/>
      <c r="B43" s="25">
        <f>IF(D43="","",IF(G43&lt;0,"SELL","BUY"))</f>
        <v/>
      </c>
      <c r="C43" s="25" t="n"/>
      <c r="D43" s="25" t="n"/>
      <c r="E43" s="25" t="n"/>
      <c r="F43" s="25" t="n"/>
      <c r="G43" s="25" t="n"/>
      <c r="H43" s="30" t="n">
        <v>-0.06</v>
      </c>
      <c r="I43" s="30">
        <f>I42+G43+H43</f>
        <v/>
      </c>
      <c r="J43" s="25" t="n"/>
      <c r="K43" s="31">
        <f>IF(AND(B43="SELL",E43&gt;0,J43&lt;&gt;""),J43/E43,0)</f>
        <v/>
      </c>
      <c r="L43" s="25" t="n"/>
      <c r="M43" s="29">
        <f>IF(AND(B43="SELL",L43&gt;0),D43*L43,0)</f>
        <v/>
      </c>
      <c r="N43" s="25" t="n"/>
      <c r="O43" s="32">
        <f>IF(AND(B43="SELL",G43&lt;&gt;0),Q43/ABS(G43),0)</f>
        <v/>
      </c>
      <c r="P43" s="32">
        <f>IF(AND(B43="SELL",D43&gt;0),R43/D43,0)</f>
        <v/>
      </c>
      <c r="Q43" s="33">
        <f>IF(AND(B43="SELL",D43&gt;0,E43&gt;0),(D43/E43)+G43,0)</f>
        <v/>
      </c>
      <c r="R43" s="61">
        <f>IF(B43="SELL",Q43*F43,0)</f>
        <v/>
      </c>
      <c r="S43" s="61">
        <f>S42+R43</f>
        <v/>
      </c>
    </row>
    <row r="44" ht="15.75" customHeight="1" s="94">
      <c r="A44" s="14" t="n"/>
      <c r="B44" s="14">
        <f>IF(D44="","",IF(G44&lt;0,"SELL","BUY"))</f>
        <v/>
      </c>
      <c r="C44" s="14" t="n"/>
      <c r="D44" s="14" t="n"/>
      <c r="E44" s="14" t="n"/>
      <c r="F44" s="14" t="n"/>
      <c r="G44" s="14" t="n"/>
      <c r="H44" s="19" t="n">
        <v>-0.06</v>
      </c>
      <c r="I44" s="19">
        <f>I43+G44+H44</f>
        <v/>
      </c>
      <c r="J44" s="14" t="n"/>
      <c r="K44" s="20">
        <f>IF(AND(B44="SELL",E44&gt;0,J44&lt;&gt;""),J44/E44,0)</f>
        <v/>
      </c>
      <c r="L44" s="14" t="n"/>
      <c r="M44" s="18">
        <f>IF(AND(B44="SELL",L44&gt;0),D44*L44,0)</f>
        <v/>
      </c>
      <c r="N44" s="14" t="n"/>
      <c r="O44" s="21">
        <f>IF(AND(B44="SELL",G44&lt;&gt;0),Q44/ABS(G44),0)</f>
        <v/>
      </c>
      <c r="P44" s="21">
        <f>IF(AND(B44="SELL",D44&gt;0),R44/D44,0)</f>
        <v/>
      </c>
      <c r="Q44" s="22">
        <f>IF(AND(B44="SELL",D44&gt;0,E44&gt;0),(D44/E44)+G44,0)</f>
        <v/>
      </c>
      <c r="R44" s="60">
        <f>IF(B44="SELL",Q44*F44,0)</f>
        <v/>
      </c>
      <c r="S44" s="60">
        <f>S43+R44</f>
        <v/>
      </c>
    </row>
    <row r="45" ht="15.75" customHeight="1" s="94">
      <c r="A45" s="25" t="n"/>
      <c r="B45" s="25">
        <f>IF(D45="","",IF(G45&lt;0,"SELL","BUY"))</f>
        <v/>
      </c>
      <c r="C45" s="25" t="n"/>
      <c r="D45" s="25" t="n"/>
      <c r="E45" s="25" t="n"/>
      <c r="F45" s="25" t="n"/>
      <c r="G45" s="25" t="n"/>
      <c r="H45" s="30" t="n">
        <v>-0.06</v>
      </c>
      <c r="I45" s="30">
        <f>I44+G45+H45</f>
        <v/>
      </c>
      <c r="J45" s="25" t="n"/>
      <c r="K45" s="31">
        <f>IF(AND(B45="SELL",E45&gt;0,J45&lt;&gt;""),J45/E45,0)</f>
        <v/>
      </c>
      <c r="L45" s="25" t="n"/>
      <c r="M45" s="29">
        <f>IF(AND(B45="SELL",L45&gt;0),D45*L45,0)</f>
        <v/>
      </c>
      <c r="N45" s="25" t="n"/>
      <c r="O45" s="32">
        <f>IF(AND(B45="SELL",G45&lt;&gt;0),Q45/ABS(G45),0)</f>
        <v/>
      </c>
      <c r="P45" s="32">
        <f>IF(AND(B45="SELL",D45&gt;0),R45/D45,0)</f>
        <v/>
      </c>
      <c r="Q45" s="33">
        <f>IF(AND(B45="SELL",D45&gt;0,E45&gt;0),(D45/E45)+G45,0)</f>
        <v/>
      </c>
      <c r="R45" s="61">
        <f>IF(B45="SELL",Q45*F45,0)</f>
        <v/>
      </c>
      <c r="S45" s="61">
        <f>S44+R45</f>
        <v/>
      </c>
    </row>
    <row r="46" ht="15.75" customHeight="1" s="94">
      <c r="A46" s="14" t="n"/>
      <c r="B46" s="14">
        <f>IF(D46="","",IF(G46&lt;0,"SELL","BUY"))</f>
        <v/>
      </c>
      <c r="C46" s="14" t="n"/>
      <c r="D46" s="14" t="n"/>
      <c r="E46" s="14" t="n"/>
      <c r="F46" s="14" t="n"/>
      <c r="G46" s="14" t="n"/>
      <c r="H46" s="19" t="n">
        <v>-0.06</v>
      </c>
      <c r="I46" s="19">
        <f>I45+G46+H46</f>
        <v/>
      </c>
      <c r="J46" s="14" t="n"/>
      <c r="K46" s="20">
        <f>IF(AND(B46="SELL",E46&gt;0,J46&lt;&gt;""),J46/E46,0)</f>
        <v/>
      </c>
      <c r="L46" s="14" t="n"/>
      <c r="M46" s="18">
        <f>IF(AND(B46="SELL",L46&gt;0),D46*L46,0)</f>
        <v/>
      </c>
      <c r="N46" s="14" t="n"/>
      <c r="O46" s="21">
        <f>IF(AND(B46="SELL",G46&lt;&gt;0),Q46/ABS(G46),0)</f>
        <v/>
      </c>
      <c r="P46" s="21">
        <f>IF(AND(B46="SELL",D46&gt;0),R46/D46,0)</f>
        <v/>
      </c>
      <c r="Q46" s="22">
        <f>IF(AND(B46="SELL",D46&gt;0,E46&gt;0),(D46/E46)+G46,0)</f>
        <v/>
      </c>
      <c r="R46" s="60">
        <f>IF(B46="SELL",Q46*F46,0)</f>
        <v/>
      </c>
      <c r="S46" s="60">
        <f>S45+R46</f>
        <v/>
      </c>
    </row>
    <row r="47" ht="15.75" customHeight="1" s="94">
      <c r="A47" s="25" t="n"/>
      <c r="B47" s="25">
        <f>IF(D47="","",IF(G47&lt;0,"SELL","BUY"))</f>
        <v/>
      </c>
      <c r="C47" s="25" t="n"/>
      <c r="D47" s="25" t="n"/>
      <c r="E47" s="25" t="n"/>
      <c r="F47" s="25" t="n"/>
      <c r="G47" s="25" t="n"/>
      <c r="H47" s="30" t="n">
        <v>-0.06</v>
      </c>
      <c r="I47" s="30">
        <f>I46+G47+H47</f>
        <v/>
      </c>
      <c r="J47" s="25" t="n"/>
      <c r="K47" s="31">
        <f>IF(AND(B47="SELL",E47&gt;0,J47&lt;&gt;""),J47/E47,0)</f>
        <v/>
      </c>
      <c r="L47" s="25" t="n"/>
      <c r="M47" s="29">
        <f>IF(AND(B47="SELL",L47&gt;0),D47*L47,0)</f>
        <v/>
      </c>
      <c r="N47" s="25" t="n"/>
      <c r="O47" s="32">
        <f>IF(AND(B47="SELL",G47&lt;&gt;0),Q47/ABS(G47),0)</f>
        <v/>
      </c>
      <c r="P47" s="32">
        <f>IF(AND(B47="SELL",D47&gt;0),R47/D47,0)</f>
        <v/>
      </c>
      <c r="Q47" s="33">
        <f>IF(AND(B47="SELL",D47&gt;0,E47&gt;0),(D47/E47)+G47,0)</f>
        <v/>
      </c>
      <c r="R47" s="61">
        <f>IF(B47="SELL",Q47*F47,0)</f>
        <v/>
      </c>
      <c r="S47" s="61">
        <f>S46+R47</f>
        <v/>
      </c>
    </row>
    <row r="48" ht="15.75" customHeight="1" s="94">
      <c r="A48" s="14" t="n"/>
      <c r="B48" s="14">
        <f>IF(D48="","",IF(G48&lt;0,"SELL","BUY"))</f>
        <v/>
      </c>
      <c r="C48" s="14" t="n"/>
      <c r="D48" s="14" t="n"/>
      <c r="E48" s="14" t="n"/>
      <c r="F48" s="14" t="n"/>
      <c r="G48" s="14" t="n"/>
      <c r="H48" s="19" t="n">
        <v>-0.06</v>
      </c>
      <c r="I48" s="19">
        <f>I47+G48+H48</f>
        <v/>
      </c>
      <c r="J48" s="14" t="n"/>
      <c r="K48" s="20">
        <f>IF(AND(B48="SELL",E48&gt;0,J48&lt;&gt;""),J48/E48,0)</f>
        <v/>
      </c>
      <c r="L48" s="14" t="n"/>
      <c r="M48" s="18">
        <f>IF(AND(B48="SELL",L48&gt;0),D48*L48,0)</f>
        <v/>
      </c>
      <c r="N48" s="14" t="n"/>
      <c r="O48" s="21">
        <f>IF(AND(B48="SELL",G48&lt;&gt;0),Q48/ABS(G48),0)</f>
        <v/>
      </c>
      <c r="P48" s="21">
        <f>IF(AND(B48="SELL",D48&gt;0),R48/D48,0)</f>
        <v/>
      </c>
      <c r="Q48" s="22">
        <f>IF(AND(B48="SELL",D48&gt;0,E48&gt;0),(D48/E48)+G48,0)</f>
        <v/>
      </c>
      <c r="R48" s="60">
        <f>IF(B48="SELL",Q48*F48,0)</f>
        <v/>
      </c>
      <c r="S48" s="60">
        <f>S47+R48</f>
        <v/>
      </c>
    </row>
    <row r="49" ht="15.75" customHeight="1" s="94">
      <c r="A49" s="25" t="n"/>
      <c r="B49" s="25">
        <f>IF(D49="","",IF(G49&lt;0,"SELL","BUY"))</f>
        <v/>
      </c>
      <c r="C49" s="25" t="n"/>
      <c r="D49" s="25" t="n"/>
      <c r="E49" s="25" t="n"/>
      <c r="F49" s="25" t="n"/>
      <c r="G49" s="25" t="n"/>
      <c r="H49" s="30" t="n">
        <v>-0.06</v>
      </c>
      <c r="I49" s="30">
        <f>I48+G49+H49</f>
        <v/>
      </c>
      <c r="J49" s="25" t="n"/>
      <c r="K49" s="31">
        <f>IF(AND(B49="SELL",E49&gt;0,J49&lt;&gt;""),J49/E49,0)</f>
        <v/>
      </c>
      <c r="L49" s="25" t="n"/>
      <c r="M49" s="29">
        <f>IF(AND(B49="SELL",L49&gt;0),D49*L49,0)</f>
        <v/>
      </c>
      <c r="N49" s="25" t="n"/>
      <c r="O49" s="32">
        <f>IF(AND(B49="SELL",G49&lt;&gt;0),Q49/ABS(G49),0)</f>
        <v/>
      </c>
      <c r="P49" s="32">
        <f>IF(AND(B49="SELL",D49&gt;0),R49/D49,0)</f>
        <v/>
      </c>
      <c r="Q49" s="33">
        <f>IF(AND(B49="SELL",D49&gt;0,E49&gt;0),(D49/E49)+G49,0)</f>
        <v/>
      </c>
      <c r="R49" s="61">
        <f>IF(B49="SELL",Q49*F49,0)</f>
        <v/>
      </c>
      <c r="S49" s="61">
        <f>S48+R49</f>
        <v/>
      </c>
    </row>
    <row r="50" ht="15.75" customHeight="1" s="94">
      <c r="A50" s="14" t="n"/>
      <c r="B50" s="14">
        <f>IF(D50="","",IF(G50&lt;0,"SELL","BUY"))</f>
        <v/>
      </c>
      <c r="C50" s="14" t="n"/>
      <c r="D50" s="14" t="n"/>
      <c r="E50" s="14" t="n"/>
      <c r="F50" s="14" t="n"/>
      <c r="G50" s="14" t="n"/>
      <c r="H50" s="19" t="n">
        <v>-0.06</v>
      </c>
      <c r="I50" s="19">
        <f>I49+G50+H50</f>
        <v/>
      </c>
      <c r="J50" s="14" t="n"/>
      <c r="K50" s="20">
        <f>IF(AND(B50="SELL",E50&gt;0,J50&lt;&gt;""),J50/E50,0)</f>
        <v/>
      </c>
      <c r="L50" s="14" t="n"/>
      <c r="M50" s="18">
        <f>IF(AND(B50="SELL",L50&gt;0),D50*L50,0)</f>
        <v/>
      </c>
      <c r="N50" s="14" t="n"/>
      <c r="O50" s="21">
        <f>IF(AND(B50="SELL",G50&lt;&gt;0),Q50/ABS(G50),0)</f>
        <v/>
      </c>
      <c r="P50" s="21">
        <f>IF(AND(B50="SELL",D50&gt;0),R50/D50,0)</f>
        <v/>
      </c>
      <c r="Q50" s="22">
        <f>IF(AND(B50="SELL",D50&gt;0,E50&gt;0),(D50/E50)+G50,0)</f>
        <v/>
      </c>
      <c r="R50" s="60">
        <f>IF(B50="SELL",Q50*F50,0)</f>
        <v/>
      </c>
      <c r="S50" s="60">
        <f>S49+R50</f>
        <v/>
      </c>
    </row>
    <row r="51" ht="15.75" customHeight="1" s="94">
      <c r="A51" s="25" t="n"/>
      <c r="B51" s="25">
        <f>IF(D51="","",IF(G51&lt;0,"SELL","BUY"))</f>
        <v/>
      </c>
      <c r="C51" s="25" t="n"/>
      <c r="D51" s="25" t="n"/>
      <c r="E51" s="25" t="n"/>
      <c r="F51" s="25" t="n"/>
      <c r="G51" s="25" t="n"/>
      <c r="H51" s="30" t="n">
        <v>-0.06</v>
      </c>
      <c r="I51" s="30">
        <f>I50+G51+H51</f>
        <v/>
      </c>
      <c r="J51" s="25" t="n"/>
      <c r="K51" s="31">
        <f>IF(AND(B51="SELL",E51&gt;0,J51&lt;&gt;""),J51/E51,0)</f>
        <v/>
      </c>
      <c r="L51" s="25" t="n"/>
      <c r="M51" s="29">
        <f>IF(AND(B51="SELL",L51&gt;0),D51*L51,0)</f>
        <v/>
      </c>
      <c r="N51" s="25" t="n"/>
      <c r="O51" s="32">
        <f>IF(AND(B51="SELL",G51&lt;&gt;0),Q51/ABS(G51),0)</f>
        <v/>
      </c>
      <c r="P51" s="32">
        <f>IF(AND(B51="SELL",D51&gt;0),R51/D51,0)</f>
        <v/>
      </c>
      <c r="Q51" s="33">
        <f>IF(AND(B51="SELL",D51&gt;0,E51&gt;0),(D51/E51)+G51,0)</f>
        <v/>
      </c>
      <c r="R51" s="61">
        <f>IF(B51="SELL",Q51*F51,0)</f>
        <v/>
      </c>
      <c r="S51" s="61">
        <f>S50+R51</f>
        <v/>
      </c>
    </row>
    <row r="52" ht="15.75" customHeight="1" s="94">
      <c r="A52" s="14" t="n"/>
      <c r="B52" s="14">
        <f>IF(D52="","",IF(G52&lt;0,"SELL","BUY"))</f>
        <v/>
      </c>
      <c r="C52" s="14" t="n"/>
      <c r="D52" s="14" t="n"/>
      <c r="E52" s="14" t="n"/>
      <c r="F52" s="14" t="n"/>
      <c r="G52" s="14" t="n"/>
      <c r="H52" s="19" t="n">
        <v>-0.06</v>
      </c>
      <c r="I52" s="19">
        <f>I51+G52+H52</f>
        <v/>
      </c>
      <c r="J52" s="14" t="n"/>
      <c r="K52" s="20">
        <f>IF(AND(B52="SELL",E52&gt;0,J52&lt;&gt;""),J52/E52,0)</f>
        <v/>
      </c>
      <c r="L52" s="14" t="n"/>
      <c r="M52" s="18">
        <f>IF(AND(B52="SELL",L52&gt;0),D52*L52,0)</f>
        <v/>
      </c>
      <c r="N52" s="14" t="n"/>
      <c r="O52" s="21">
        <f>IF(AND(B52="SELL",G52&lt;&gt;0),Q52/ABS(G52),0)</f>
        <v/>
      </c>
      <c r="P52" s="21">
        <f>IF(AND(B52="SELL",D52&gt;0),R52/D52,0)</f>
        <v/>
      </c>
      <c r="Q52" s="22">
        <f>IF(AND(B52="SELL",D52&gt;0,E52&gt;0),(D52/E52)+G52,0)</f>
        <v/>
      </c>
      <c r="R52" s="60">
        <f>IF(B52="SELL",Q52*F52,0)</f>
        <v/>
      </c>
      <c r="S52" s="60">
        <f>S51+R52</f>
        <v/>
      </c>
    </row>
    <row r="53" ht="15.75" customHeight="1" s="94">
      <c r="A53" s="25" t="n"/>
      <c r="B53" s="25">
        <f>IF(D53="","",IF(G53&lt;0,"SELL","BUY"))</f>
        <v/>
      </c>
      <c r="C53" s="25" t="n"/>
      <c r="D53" s="25" t="n"/>
      <c r="E53" s="25" t="n"/>
      <c r="F53" s="25" t="n"/>
      <c r="G53" s="25" t="n"/>
      <c r="H53" s="30" t="n">
        <v>-0.06</v>
      </c>
      <c r="I53" s="30">
        <f>I52+G53+H53</f>
        <v/>
      </c>
      <c r="J53" s="25" t="n"/>
      <c r="K53" s="31">
        <f>IF(AND(B53="SELL",E53&gt;0,J53&lt;&gt;""),J53/E53,0)</f>
        <v/>
      </c>
      <c r="L53" s="25" t="n"/>
      <c r="M53" s="29">
        <f>IF(AND(B53="SELL",L53&gt;0),D53*L53,0)</f>
        <v/>
      </c>
      <c r="N53" s="25" t="n"/>
      <c r="O53" s="32">
        <f>IF(AND(B53="SELL",G53&lt;&gt;0),Q53/ABS(G53),0)</f>
        <v/>
      </c>
      <c r="P53" s="32">
        <f>IF(AND(B53="SELL",D53&gt;0),R53/D53,0)</f>
        <v/>
      </c>
      <c r="Q53" s="33">
        <f>IF(AND(B53="SELL",D53&gt;0,E53&gt;0),(D53/E53)+G53,0)</f>
        <v/>
      </c>
      <c r="R53" s="61">
        <f>IF(B53="SELL",Q53*F53,0)</f>
        <v/>
      </c>
      <c r="S53" s="61">
        <f>S52+R53</f>
        <v/>
      </c>
    </row>
    <row r="54" ht="15.75" customHeight="1" s="94">
      <c r="A54" s="14" t="n"/>
      <c r="B54" s="14">
        <f>IF(D54="","",IF(G54&lt;0,"SELL","BUY"))</f>
        <v/>
      </c>
      <c r="C54" s="14" t="n"/>
      <c r="D54" s="14" t="n"/>
      <c r="E54" s="14" t="n"/>
      <c r="F54" s="14" t="n"/>
      <c r="G54" s="14" t="n"/>
      <c r="H54" s="19" t="n">
        <v>-0.06</v>
      </c>
      <c r="I54" s="19">
        <f>I53+G54+H54</f>
        <v/>
      </c>
      <c r="J54" s="14" t="n"/>
      <c r="K54" s="20">
        <f>IF(AND(B54="SELL",E54&gt;0,J54&lt;&gt;""),J54/E54,0)</f>
        <v/>
      </c>
      <c r="L54" s="14" t="n"/>
      <c r="M54" s="18">
        <f>IF(AND(B54="SELL",L54&gt;0),D54*L54,0)</f>
        <v/>
      </c>
      <c r="N54" s="14" t="n"/>
      <c r="O54" s="21">
        <f>IF(AND(B54="SELL",G54&lt;&gt;0),Q54/ABS(G54),0)</f>
        <v/>
      </c>
      <c r="P54" s="21">
        <f>IF(AND(B54="SELL",D54&gt;0),R54/D54,0)</f>
        <v/>
      </c>
      <c r="Q54" s="22">
        <f>IF(AND(B54="SELL",D54&gt;0,E54&gt;0),(D54/E54)+G54,0)</f>
        <v/>
      </c>
      <c r="R54" s="60">
        <f>IF(B54="SELL",Q54*F54,0)</f>
        <v/>
      </c>
      <c r="S54" s="60">
        <f>S53+R54</f>
        <v/>
      </c>
    </row>
    <row r="55" ht="15.75" customHeight="1" s="94">
      <c r="A55" s="25" t="n"/>
      <c r="B55" s="25">
        <f>IF(D55="","",IF(G55&lt;0,"SELL","BUY"))</f>
        <v/>
      </c>
      <c r="C55" s="25" t="n"/>
      <c r="D55" s="25" t="n"/>
      <c r="E55" s="25" t="n"/>
      <c r="F55" s="25" t="n"/>
      <c r="G55" s="25" t="n"/>
      <c r="H55" s="30" t="n">
        <v>-0.06</v>
      </c>
      <c r="I55" s="30">
        <f>I54+G55+H55</f>
        <v/>
      </c>
      <c r="J55" s="25" t="n"/>
      <c r="K55" s="31">
        <f>IF(AND(B55="SELL",E55&gt;0,J55&lt;&gt;""),J55/E55,0)</f>
        <v/>
      </c>
      <c r="L55" s="25" t="n"/>
      <c r="M55" s="29">
        <f>IF(AND(B55="SELL",L55&gt;0),D55*L55,0)</f>
        <v/>
      </c>
      <c r="N55" s="25" t="n"/>
      <c r="O55" s="32">
        <f>IF(AND(B55="SELL",G55&lt;&gt;0),Q55/ABS(G55),0)</f>
        <v/>
      </c>
      <c r="P55" s="32">
        <f>IF(AND(B55="SELL",D55&gt;0),R55/D55,0)</f>
        <v/>
      </c>
      <c r="Q55" s="33">
        <f>IF(AND(B55="SELL",D55&gt;0,E55&gt;0),(D55/E55)+G55,0)</f>
        <v/>
      </c>
      <c r="R55" s="61">
        <f>IF(B55="SELL",Q55*F55,0)</f>
        <v/>
      </c>
      <c r="S55" s="61">
        <f>S54+R55</f>
        <v/>
      </c>
    </row>
    <row r="56" ht="15.75" customHeight="1" s="94">
      <c r="A56" s="14" t="n"/>
      <c r="B56" s="14">
        <f>IF(D56="","",IF(G56&lt;0,"SELL","BUY"))</f>
        <v/>
      </c>
      <c r="C56" s="14" t="n"/>
      <c r="D56" s="14" t="n"/>
      <c r="E56" s="14" t="n"/>
      <c r="F56" s="14" t="n"/>
      <c r="G56" s="14" t="n"/>
      <c r="H56" s="19" t="n">
        <v>-0.06</v>
      </c>
      <c r="I56" s="19">
        <f>I55+G56+H56</f>
        <v/>
      </c>
      <c r="J56" s="14" t="n"/>
      <c r="K56" s="20">
        <f>IF(AND(B56="SELL",E56&gt;0,J56&lt;&gt;""),J56/E56,0)</f>
        <v/>
      </c>
      <c r="L56" s="14" t="n"/>
      <c r="M56" s="18">
        <f>IF(AND(B56="SELL",L56&gt;0),D56*L56,0)</f>
        <v/>
      </c>
      <c r="N56" s="14" t="n"/>
      <c r="O56" s="21">
        <f>IF(AND(B56="SELL",G56&lt;&gt;0),Q56/ABS(G56),0)</f>
        <v/>
      </c>
      <c r="P56" s="21">
        <f>IF(AND(B56="SELL",D56&gt;0),R56/D56,0)</f>
        <v/>
      </c>
      <c r="Q56" s="22">
        <f>IF(AND(B56="SELL",D56&gt;0,E56&gt;0),(D56/E56)+G56,0)</f>
        <v/>
      </c>
      <c r="R56" s="60">
        <f>IF(B56="SELL",Q56*F56,0)</f>
        <v/>
      </c>
      <c r="S56" s="60">
        <f>S55+R56</f>
        <v/>
      </c>
    </row>
    <row r="57" ht="15.75" customHeight="1" s="94">
      <c r="A57" s="25" t="n"/>
      <c r="B57" s="25">
        <f>IF(D57="","",IF(G57&lt;0,"SELL","BUY"))</f>
        <v/>
      </c>
      <c r="C57" s="25" t="n"/>
      <c r="D57" s="25" t="n"/>
      <c r="E57" s="25" t="n"/>
      <c r="F57" s="25" t="n"/>
      <c r="G57" s="25" t="n"/>
      <c r="H57" s="30" t="n">
        <v>-0.06</v>
      </c>
      <c r="I57" s="30">
        <f>I56+G57+H57</f>
        <v/>
      </c>
      <c r="J57" s="25" t="n"/>
      <c r="K57" s="31">
        <f>IF(AND(B57="SELL",E57&gt;0,J57&lt;&gt;""),J57/E57,0)</f>
        <v/>
      </c>
      <c r="L57" s="25" t="n"/>
      <c r="M57" s="29">
        <f>IF(AND(B57="SELL",L57&gt;0),D57*L57,0)</f>
        <v/>
      </c>
      <c r="N57" s="25" t="n"/>
      <c r="O57" s="32">
        <f>IF(AND(B57="SELL",G57&lt;&gt;0),Q57/ABS(G57),0)</f>
        <v/>
      </c>
      <c r="P57" s="32">
        <f>IF(AND(B57="SELL",D57&gt;0),R57/D57,0)</f>
        <v/>
      </c>
      <c r="Q57" s="33">
        <f>IF(AND(B57="SELL",D57&gt;0,E57&gt;0),(D57/E57)+G57,0)</f>
        <v/>
      </c>
      <c r="R57" s="61">
        <f>IF(B57="SELL",Q57*F57,0)</f>
        <v/>
      </c>
      <c r="S57" s="61">
        <f>S56+R57</f>
        <v/>
      </c>
    </row>
    <row r="58" ht="15.75" customHeight="1" s="94">
      <c r="A58" s="14" t="n"/>
      <c r="B58" s="14">
        <f>IF(D58="","",IF(G58&lt;0,"SELL","BUY"))</f>
        <v/>
      </c>
      <c r="C58" s="14" t="n"/>
      <c r="D58" s="14" t="n"/>
      <c r="E58" s="14" t="n"/>
      <c r="F58" s="14" t="n"/>
      <c r="G58" s="14" t="n"/>
      <c r="H58" s="19" t="n">
        <v>-0.06</v>
      </c>
      <c r="I58" s="19">
        <f>I57+G58+H58</f>
        <v/>
      </c>
      <c r="J58" s="14" t="n"/>
      <c r="K58" s="20">
        <f>IF(AND(B58="SELL",E58&gt;0,J58&lt;&gt;""),J58/E58,0)</f>
        <v/>
      </c>
      <c r="L58" s="14" t="n"/>
      <c r="M58" s="18">
        <f>IF(AND(B58="SELL",L58&gt;0),D58*L58,0)</f>
        <v/>
      </c>
      <c r="N58" s="14" t="n"/>
      <c r="O58" s="21">
        <f>IF(AND(B58="SELL",G58&lt;&gt;0),Q58/ABS(G58),0)</f>
        <v/>
      </c>
      <c r="P58" s="21">
        <f>IF(AND(B58="SELL",D58&gt;0),R58/D58,0)</f>
        <v/>
      </c>
      <c r="Q58" s="22">
        <f>IF(AND(B58="SELL",D58&gt;0,E58&gt;0),(D58/E58)+G58,0)</f>
        <v/>
      </c>
      <c r="R58" s="60">
        <f>IF(B58="SELL",Q58*F58,0)</f>
        <v/>
      </c>
      <c r="S58" s="60">
        <f>S57+R58</f>
        <v/>
      </c>
    </row>
    <row r="59" ht="15.75" customHeight="1" s="94">
      <c r="A59" s="25" t="n"/>
      <c r="B59" s="25">
        <f>IF(D59="","",IF(G59&lt;0,"SELL","BUY"))</f>
        <v/>
      </c>
      <c r="C59" s="25" t="n"/>
      <c r="D59" s="25" t="n"/>
      <c r="E59" s="25" t="n"/>
      <c r="F59" s="25" t="n"/>
      <c r="G59" s="25" t="n"/>
      <c r="H59" s="30" t="n">
        <v>-0.06</v>
      </c>
      <c r="I59" s="30">
        <f>I58+G59+H59</f>
        <v/>
      </c>
      <c r="J59" s="25" t="n"/>
      <c r="K59" s="31">
        <f>IF(AND(B59="SELL",E59&gt;0,J59&lt;&gt;""),J59/E59,0)</f>
        <v/>
      </c>
      <c r="L59" s="25" t="n"/>
      <c r="M59" s="29">
        <f>IF(AND(B59="SELL",L59&gt;0),D59*L59,0)</f>
        <v/>
      </c>
      <c r="N59" s="25" t="n"/>
      <c r="O59" s="32">
        <f>IF(AND(B59="SELL",G59&lt;&gt;0),Q59/ABS(G59),0)</f>
        <v/>
      </c>
      <c r="P59" s="32">
        <f>IF(AND(B59="SELL",D59&gt;0),R59/D59,0)</f>
        <v/>
      </c>
      <c r="Q59" s="33">
        <f>IF(AND(B59="SELL",D59&gt;0,E59&gt;0),(D59/E59)+G59,0)</f>
        <v/>
      </c>
      <c r="R59" s="61">
        <f>IF(B59="SELL",Q59*F59,0)</f>
        <v/>
      </c>
      <c r="S59" s="61">
        <f>S58+R59</f>
        <v/>
      </c>
    </row>
    <row r="60" ht="15.75" customHeight="1" s="94">
      <c r="A60" s="14" t="n"/>
      <c r="B60" s="14">
        <f>IF(D60="","",IF(G60&lt;0,"SELL","BUY"))</f>
        <v/>
      </c>
      <c r="C60" s="14" t="n"/>
      <c r="D60" s="14" t="n"/>
      <c r="E60" s="14" t="n"/>
      <c r="F60" s="14" t="n"/>
      <c r="G60" s="14" t="n"/>
      <c r="H60" s="19" t="n">
        <v>-0.06</v>
      </c>
      <c r="I60" s="19">
        <f>I59+G60+H60</f>
        <v/>
      </c>
      <c r="J60" s="14" t="n"/>
      <c r="K60" s="20">
        <f>IF(AND(B60="SELL",E60&gt;0,J60&lt;&gt;""),J60/E60,0)</f>
        <v/>
      </c>
      <c r="L60" s="14" t="n"/>
      <c r="M60" s="18">
        <f>IF(AND(B60="SELL",L60&gt;0),D60*L60,0)</f>
        <v/>
      </c>
      <c r="N60" s="14" t="n"/>
      <c r="O60" s="21">
        <f>IF(AND(B60="SELL",G60&lt;&gt;0),Q60/ABS(G60),0)</f>
        <v/>
      </c>
      <c r="P60" s="21">
        <f>IF(AND(B60="SELL",D60&gt;0),R60/D60,0)</f>
        <v/>
      </c>
      <c r="Q60" s="22">
        <f>IF(AND(B60="SELL",D60&gt;0,E60&gt;0),(D60/E60)+G60,0)</f>
        <v/>
      </c>
      <c r="R60" s="60">
        <f>IF(B60="SELL",Q60*F60,0)</f>
        <v/>
      </c>
      <c r="S60" s="60">
        <f>S59+R60</f>
        <v/>
      </c>
    </row>
    <row r="61" ht="15.75" customHeight="1" s="94">
      <c r="A61" s="25" t="n"/>
      <c r="B61" s="25">
        <f>IF(D61="","",IF(G61&lt;0,"SELL","BUY"))</f>
        <v/>
      </c>
      <c r="C61" s="25" t="n"/>
      <c r="D61" s="25" t="n"/>
      <c r="E61" s="25" t="n"/>
      <c r="F61" s="25" t="n"/>
      <c r="G61" s="25" t="n"/>
      <c r="H61" s="30" t="n">
        <v>-0.06</v>
      </c>
      <c r="I61" s="30">
        <f>I60+G61+H61</f>
        <v/>
      </c>
      <c r="J61" s="25" t="n"/>
      <c r="K61" s="31">
        <f>IF(AND(B61="SELL",E61&gt;0,J61&lt;&gt;""),J61/E61,0)</f>
        <v/>
      </c>
      <c r="L61" s="25" t="n"/>
      <c r="M61" s="29">
        <f>IF(AND(B61="SELL",L61&gt;0),D61*L61,0)</f>
        <v/>
      </c>
      <c r="N61" s="25" t="n"/>
      <c r="O61" s="32">
        <f>IF(AND(B61="SELL",G61&lt;&gt;0),Q61/ABS(G61),0)</f>
        <v/>
      </c>
      <c r="P61" s="32">
        <f>IF(AND(B61="SELL",D61&gt;0),R61/D61,0)</f>
        <v/>
      </c>
      <c r="Q61" s="33">
        <f>IF(AND(B61="SELL",D61&gt;0,E61&gt;0),(D61/E61)+G61,0)</f>
        <v/>
      </c>
      <c r="R61" s="61">
        <f>IF(B61="SELL",Q61*F61,0)</f>
        <v/>
      </c>
      <c r="S61" s="61">
        <f>S60+R61</f>
        <v/>
      </c>
    </row>
    <row r="62" ht="15.75" customHeight="1" s="94">
      <c r="A62" s="14" t="n"/>
      <c r="B62" s="14">
        <f>IF(D62="","",IF(G62&lt;0,"SELL","BUY"))</f>
        <v/>
      </c>
      <c r="C62" s="14" t="n"/>
      <c r="D62" s="14" t="n"/>
      <c r="E62" s="14" t="n"/>
      <c r="F62" s="14" t="n"/>
      <c r="G62" s="14" t="n"/>
      <c r="H62" s="19" t="n">
        <v>-0.06</v>
      </c>
      <c r="I62" s="19">
        <f>I61+G62+H62</f>
        <v/>
      </c>
      <c r="J62" s="14" t="n"/>
      <c r="K62" s="20">
        <f>IF(AND(B62="SELL",E62&gt;0,J62&lt;&gt;""),J62/E62,0)</f>
        <v/>
      </c>
      <c r="L62" s="14" t="n"/>
      <c r="M62" s="18">
        <f>IF(AND(B62="SELL",L62&gt;0),D62*L62,0)</f>
        <v/>
      </c>
      <c r="N62" s="14" t="n"/>
      <c r="O62" s="21">
        <f>IF(AND(B62="SELL",G62&lt;&gt;0),Q62/ABS(G62),0)</f>
        <v/>
      </c>
      <c r="P62" s="21">
        <f>IF(AND(B62="SELL",D62&gt;0),R62/D62,0)</f>
        <v/>
      </c>
      <c r="Q62" s="22">
        <f>IF(AND(B62="SELL",D62&gt;0,E62&gt;0),(D62/E62)+G62,0)</f>
        <v/>
      </c>
      <c r="R62" s="60">
        <f>IF(B62="SELL",Q62*F62,0)</f>
        <v/>
      </c>
      <c r="S62" s="60">
        <f>S61+R62</f>
        <v/>
      </c>
    </row>
    <row r="63" ht="15.75" customHeight="1" s="94">
      <c r="A63" s="25" t="n"/>
      <c r="B63" s="25">
        <f>IF(D63="","",IF(G63&lt;0,"SELL","BUY"))</f>
        <v/>
      </c>
      <c r="C63" s="25" t="n"/>
      <c r="D63" s="25" t="n"/>
      <c r="E63" s="25" t="n"/>
      <c r="F63" s="25" t="n"/>
      <c r="G63" s="25" t="n"/>
      <c r="H63" s="30" t="n">
        <v>-0.06</v>
      </c>
      <c r="I63" s="30">
        <f>I62+G63+H63</f>
        <v/>
      </c>
      <c r="J63" s="25" t="n"/>
      <c r="K63" s="31">
        <f>IF(AND(B63="SELL",E63&gt;0,J63&lt;&gt;""),J63/E63,0)</f>
        <v/>
      </c>
      <c r="L63" s="25" t="n"/>
      <c r="M63" s="29">
        <f>IF(AND(B63="SELL",L63&gt;0),D63*L63,0)</f>
        <v/>
      </c>
      <c r="N63" s="25" t="n"/>
      <c r="O63" s="32">
        <f>IF(AND(B63="SELL",G63&lt;&gt;0),Q63/ABS(G63),0)</f>
        <v/>
      </c>
      <c r="P63" s="32">
        <f>IF(AND(B63="SELL",D63&gt;0),R63/D63,0)</f>
        <v/>
      </c>
      <c r="Q63" s="33">
        <f>IF(AND(B63="SELL",D63&gt;0,E63&gt;0),(D63/E63)+G63,0)</f>
        <v/>
      </c>
      <c r="R63" s="61">
        <f>IF(B63="SELL",Q63*F63,0)</f>
        <v/>
      </c>
      <c r="S63" s="61">
        <f>S62+R63</f>
        <v/>
      </c>
    </row>
    <row r="64" ht="15.75" customHeight="1" s="94">
      <c r="A64" s="14" t="n"/>
      <c r="B64" s="14">
        <f>IF(D64="","",IF(G64&lt;0,"SELL","BUY"))</f>
        <v/>
      </c>
      <c r="C64" s="14" t="n"/>
      <c r="D64" s="14" t="n"/>
      <c r="E64" s="14" t="n"/>
      <c r="F64" s="14" t="n"/>
      <c r="G64" s="14" t="n"/>
      <c r="H64" s="19" t="n">
        <v>-0.06</v>
      </c>
      <c r="I64" s="19">
        <f>I63+G64+H64</f>
        <v/>
      </c>
      <c r="J64" s="14" t="n"/>
      <c r="K64" s="20">
        <f>IF(AND(B64="SELL",E64&gt;0,J64&lt;&gt;""),J64/E64,0)</f>
        <v/>
      </c>
      <c r="L64" s="14" t="n"/>
      <c r="M64" s="18">
        <f>IF(AND(B64="SELL",L64&gt;0),D64*L64,0)</f>
        <v/>
      </c>
      <c r="N64" s="14" t="n"/>
      <c r="O64" s="21">
        <f>IF(AND(B64="SELL",G64&lt;&gt;0),Q64/ABS(G64),0)</f>
        <v/>
      </c>
      <c r="P64" s="21">
        <f>IF(AND(B64="SELL",D64&gt;0),R64/D64,0)</f>
        <v/>
      </c>
      <c r="Q64" s="22">
        <f>IF(AND(B64="SELL",D64&gt;0,E64&gt;0),(D64/E64)+G64,0)</f>
        <v/>
      </c>
      <c r="R64" s="60">
        <f>IF(B64="SELL",Q64*F64,0)</f>
        <v/>
      </c>
      <c r="S64" s="60">
        <f>S63+R64</f>
        <v/>
      </c>
    </row>
    <row r="65" ht="15.75" customHeight="1" s="94">
      <c r="A65" s="25" t="n"/>
      <c r="B65" s="25">
        <f>IF(D65="","",IF(G65&lt;0,"SELL","BUY"))</f>
        <v/>
      </c>
      <c r="C65" s="25" t="n"/>
      <c r="D65" s="25" t="n"/>
      <c r="E65" s="25" t="n"/>
      <c r="F65" s="25" t="n"/>
      <c r="G65" s="25" t="n"/>
      <c r="H65" s="30" t="n">
        <v>-0.06</v>
      </c>
      <c r="I65" s="30">
        <f>I64+G65+H65</f>
        <v/>
      </c>
      <c r="J65" s="25" t="n"/>
      <c r="K65" s="31">
        <f>IF(AND(B65="SELL",E65&gt;0,J65&lt;&gt;""),J65/E65,0)</f>
        <v/>
      </c>
      <c r="L65" s="25" t="n"/>
      <c r="M65" s="29">
        <f>IF(AND(B65="SELL",L65&gt;0),D65*L65,0)</f>
        <v/>
      </c>
      <c r="N65" s="25" t="n"/>
      <c r="O65" s="32">
        <f>IF(AND(B65="SELL",G65&lt;&gt;0),Q65/ABS(G65),0)</f>
        <v/>
      </c>
      <c r="P65" s="32">
        <f>IF(AND(B65="SELL",D65&gt;0),R65/D65,0)</f>
        <v/>
      </c>
      <c r="Q65" s="33">
        <f>IF(AND(B65="SELL",D65&gt;0,E65&gt;0),(D65/E65)+G65,0)</f>
        <v/>
      </c>
      <c r="R65" s="61">
        <f>IF(B65="SELL",Q65*F65,0)</f>
        <v/>
      </c>
      <c r="S65" s="61">
        <f>S64+R65</f>
        <v/>
      </c>
    </row>
    <row r="66" ht="15.75" customHeight="1" s="94">
      <c r="A66" s="14" t="n"/>
      <c r="B66" s="14">
        <f>IF(D66="","",IF(G66&lt;0,"SELL","BUY"))</f>
        <v/>
      </c>
      <c r="C66" s="14" t="n"/>
      <c r="D66" s="14" t="n"/>
      <c r="E66" s="14" t="n"/>
      <c r="F66" s="14" t="n"/>
      <c r="G66" s="14" t="n"/>
      <c r="H66" s="19" t="n">
        <v>-0.06</v>
      </c>
      <c r="I66" s="19">
        <f>I65+G66+H66</f>
        <v/>
      </c>
      <c r="J66" s="14" t="n"/>
      <c r="K66" s="20">
        <f>IF(AND(B66="SELL",E66&gt;0,J66&lt;&gt;""),J66/E66,0)</f>
        <v/>
      </c>
      <c r="L66" s="14" t="n"/>
      <c r="M66" s="18">
        <f>IF(AND(B66="SELL",L66&gt;0),D66*L66,0)</f>
        <v/>
      </c>
      <c r="N66" s="14" t="n"/>
      <c r="O66" s="21">
        <f>IF(AND(B66="SELL",G66&lt;&gt;0),Q66/ABS(G66),0)</f>
        <v/>
      </c>
      <c r="P66" s="21">
        <f>IF(AND(B66="SELL",D66&gt;0),R66/D66,0)</f>
        <v/>
      </c>
      <c r="Q66" s="22">
        <f>IF(AND(B66="SELL",D66&gt;0,E66&gt;0),(D66/E66)+G66,0)</f>
        <v/>
      </c>
      <c r="R66" s="60">
        <f>IF(B66="SELL",Q66*F66,0)</f>
        <v/>
      </c>
      <c r="S66" s="60">
        <f>S65+R66</f>
        <v/>
      </c>
    </row>
    <row r="67" ht="15.75" customHeight="1" s="94">
      <c r="A67" s="25" t="n"/>
      <c r="B67" s="25">
        <f>IF(D67="","",IF(G67&lt;0,"SELL","BUY"))</f>
        <v/>
      </c>
      <c r="C67" s="25" t="n"/>
      <c r="D67" s="25" t="n"/>
      <c r="E67" s="25" t="n"/>
      <c r="F67" s="25" t="n"/>
      <c r="G67" s="25" t="n"/>
      <c r="H67" s="30" t="n">
        <v>-0.06</v>
      </c>
      <c r="I67" s="30">
        <f>I66+G67+H67</f>
        <v/>
      </c>
      <c r="J67" s="25" t="n"/>
      <c r="K67" s="31">
        <f>IF(AND(B67="SELL",E67&gt;0,J67&lt;&gt;""),J67/E67,0)</f>
        <v/>
      </c>
      <c r="L67" s="25" t="n"/>
      <c r="M67" s="29">
        <f>IF(AND(B67="SELL",L67&gt;0),D67*L67,0)</f>
        <v/>
      </c>
      <c r="N67" s="25" t="n"/>
      <c r="O67" s="32">
        <f>IF(AND(B67="SELL",G67&lt;&gt;0),Q67/ABS(G67),0)</f>
        <v/>
      </c>
      <c r="P67" s="32">
        <f>IF(AND(B67="SELL",D67&gt;0),R67/D67,0)</f>
        <v/>
      </c>
      <c r="Q67" s="33">
        <f>IF(AND(B67="SELL",D67&gt;0,E67&gt;0),(D67/E67)+G67,0)</f>
        <v/>
      </c>
      <c r="R67" s="61">
        <f>IF(B67="SELL",Q67*F67,0)</f>
        <v/>
      </c>
      <c r="S67" s="61">
        <f>S66+R67</f>
        <v/>
      </c>
    </row>
    <row r="68" ht="15.75" customHeight="1" s="94">
      <c r="A68" s="14" t="n"/>
      <c r="B68" s="14">
        <f>IF(D68="","",IF(G68&lt;0,"SELL","BUY"))</f>
        <v/>
      </c>
      <c r="C68" s="14" t="n"/>
      <c r="D68" s="14" t="n"/>
      <c r="E68" s="14" t="n"/>
      <c r="F68" s="14" t="n"/>
      <c r="G68" s="14" t="n"/>
      <c r="H68" s="19" t="n">
        <v>-0.06</v>
      </c>
      <c r="I68" s="19">
        <f>I67+G68+H68</f>
        <v/>
      </c>
      <c r="J68" s="14" t="n"/>
      <c r="K68" s="20">
        <f>IF(AND(B68="SELL",E68&gt;0,J68&lt;&gt;""),J68/E68,0)</f>
        <v/>
      </c>
      <c r="L68" s="14" t="n"/>
      <c r="M68" s="18">
        <f>IF(AND(B68="SELL",L68&gt;0),D68*L68,0)</f>
        <v/>
      </c>
      <c r="N68" s="14" t="n"/>
      <c r="O68" s="21">
        <f>IF(AND(B68="SELL",G68&lt;&gt;0),Q68/ABS(G68),0)</f>
        <v/>
      </c>
      <c r="P68" s="21">
        <f>IF(AND(B68="SELL",D68&gt;0),R68/D68,0)</f>
        <v/>
      </c>
      <c r="Q68" s="22">
        <f>IF(AND(B68="SELL",D68&gt;0,E68&gt;0),(D68/E68)+G68,0)</f>
        <v/>
      </c>
      <c r="R68" s="60">
        <f>IF(B68="SELL",Q68*F68,0)</f>
        <v/>
      </c>
      <c r="S68" s="60">
        <f>S67+R68</f>
        <v/>
      </c>
    </row>
    <row r="69" ht="15.75" customHeight="1" s="94">
      <c r="A69" s="25" t="n"/>
      <c r="B69" s="25">
        <f>IF(D69="","",IF(G69&lt;0,"SELL","BUY"))</f>
        <v/>
      </c>
      <c r="C69" s="25" t="n"/>
      <c r="D69" s="25" t="n"/>
      <c r="E69" s="25" t="n"/>
      <c r="F69" s="25" t="n"/>
      <c r="G69" s="25" t="n"/>
      <c r="H69" s="30" t="n">
        <v>-0.06</v>
      </c>
      <c r="I69" s="30">
        <f>I68+G69+H69</f>
        <v/>
      </c>
      <c r="J69" s="25" t="n"/>
      <c r="K69" s="31">
        <f>IF(AND(B69="SELL",E69&gt;0,J69&lt;&gt;""),J69/E69,0)</f>
        <v/>
      </c>
      <c r="L69" s="25" t="n"/>
      <c r="M69" s="29">
        <f>IF(AND(B69="SELL",L69&gt;0),D69*L69,0)</f>
        <v/>
      </c>
      <c r="N69" s="25" t="n"/>
      <c r="O69" s="32">
        <f>IF(AND(B69="SELL",G69&lt;&gt;0),Q69/ABS(G69),0)</f>
        <v/>
      </c>
      <c r="P69" s="32">
        <f>IF(AND(B69="SELL",D69&gt;0),R69/D69,0)</f>
        <v/>
      </c>
      <c r="Q69" s="33">
        <f>IF(AND(B69="SELL",D69&gt;0,E69&gt;0),(D69/E69)+G69,0)</f>
        <v/>
      </c>
      <c r="R69" s="61">
        <f>IF(B69="SELL",Q69*F69,0)</f>
        <v/>
      </c>
      <c r="S69" s="61">
        <f>S68+R69</f>
        <v/>
      </c>
    </row>
    <row r="70" ht="15.75" customHeight="1" s="94">
      <c r="A70" s="14" t="n"/>
      <c r="B70" s="14">
        <f>IF(D70="","",IF(G70&lt;0,"SELL","BUY"))</f>
        <v/>
      </c>
      <c r="C70" s="14" t="n"/>
      <c r="D70" s="14" t="n"/>
      <c r="E70" s="14" t="n"/>
      <c r="F70" s="14" t="n"/>
      <c r="G70" s="14" t="n"/>
      <c r="H70" s="19" t="n">
        <v>-0.06</v>
      </c>
      <c r="I70" s="19">
        <f>I69+G70+H70</f>
        <v/>
      </c>
      <c r="J70" s="14" t="n"/>
      <c r="K70" s="20">
        <f>IF(AND(B70="SELL",E70&gt;0,J70&lt;&gt;""),J70/E70,0)</f>
        <v/>
      </c>
      <c r="L70" s="14" t="n"/>
      <c r="M70" s="18">
        <f>IF(AND(B70="SELL",L70&gt;0),D70*L70,0)</f>
        <v/>
      </c>
      <c r="N70" s="14" t="n"/>
      <c r="O70" s="21">
        <f>IF(AND(B70="SELL",G70&lt;&gt;0),Q70/ABS(G70),0)</f>
        <v/>
      </c>
      <c r="P70" s="21">
        <f>IF(AND(B70="SELL",D70&gt;0),R70/D70,0)</f>
        <v/>
      </c>
      <c r="Q70" s="22">
        <f>IF(AND(B70="SELL",D70&gt;0,E70&gt;0),(D70/E70)+G70,0)</f>
        <v/>
      </c>
      <c r="R70" s="60">
        <f>IF(B70="SELL",Q70*F70,0)</f>
        <v/>
      </c>
      <c r="S70" s="60">
        <f>S69+R70</f>
        <v/>
      </c>
    </row>
    <row r="71" ht="15.75" customHeight="1" s="94">
      <c r="A71" s="25" t="n"/>
      <c r="B71" s="25">
        <f>IF(D71="","",IF(G71&lt;0,"SELL","BUY"))</f>
        <v/>
      </c>
      <c r="C71" s="25" t="n"/>
      <c r="D71" s="25" t="n"/>
      <c r="E71" s="25" t="n"/>
      <c r="F71" s="25" t="n"/>
      <c r="G71" s="25" t="n"/>
      <c r="H71" s="30" t="n">
        <v>-0.06</v>
      </c>
      <c r="I71" s="30">
        <f>I70+G71+H71</f>
        <v/>
      </c>
      <c r="J71" s="25" t="n"/>
      <c r="K71" s="31">
        <f>IF(AND(B71="SELL",E71&gt;0,J71&lt;&gt;""),J71/E71,0)</f>
        <v/>
      </c>
      <c r="L71" s="25" t="n"/>
      <c r="M71" s="29">
        <f>IF(AND(B71="SELL",L71&gt;0),D71*L71,0)</f>
        <v/>
      </c>
      <c r="N71" s="25" t="n"/>
      <c r="O71" s="32">
        <f>IF(AND(B71="SELL",G71&lt;&gt;0),Q71/ABS(G71),0)</f>
        <v/>
      </c>
      <c r="P71" s="32">
        <f>IF(AND(B71="SELL",D71&gt;0),R71/D71,0)</f>
        <v/>
      </c>
      <c r="Q71" s="33">
        <f>IF(AND(B71="SELL",D71&gt;0,E71&gt;0),(D71/E71)+G71,0)</f>
        <v/>
      </c>
      <c r="R71" s="61">
        <f>IF(B71="SELL",Q71*F71,0)</f>
        <v/>
      </c>
      <c r="S71" s="61">
        <f>S70+R71</f>
        <v/>
      </c>
    </row>
    <row r="72" ht="15.75" customHeight="1" s="94">
      <c r="A72" s="14" t="n"/>
      <c r="B72" s="14">
        <f>IF(D72="","",IF(G72&lt;0,"SELL","BUY"))</f>
        <v/>
      </c>
      <c r="C72" s="14" t="n"/>
      <c r="D72" s="14" t="n"/>
      <c r="E72" s="14" t="n"/>
      <c r="F72" s="14" t="n"/>
      <c r="G72" s="14" t="n"/>
      <c r="H72" s="19" t="n">
        <v>-0.06</v>
      </c>
      <c r="I72" s="19">
        <f>I71+G72+H72</f>
        <v/>
      </c>
      <c r="J72" s="14" t="n"/>
      <c r="K72" s="20">
        <f>IF(AND(B72="SELL",E72&gt;0,J72&lt;&gt;""),J72/E72,0)</f>
        <v/>
      </c>
      <c r="L72" s="14" t="n"/>
      <c r="M72" s="18">
        <f>IF(AND(B72="SELL",L72&gt;0),D72*L72,0)</f>
        <v/>
      </c>
      <c r="N72" s="14" t="n"/>
      <c r="O72" s="21">
        <f>IF(AND(B72="SELL",G72&lt;&gt;0),Q72/ABS(G72),0)</f>
        <v/>
      </c>
      <c r="P72" s="21">
        <f>IF(AND(B72="SELL",D72&gt;0),R72/D72,0)</f>
        <v/>
      </c>
      <c r="Q72" s="22">
        <f>IF(AND(B72="SELL",D72&gt;0,E72&gt;0),(D72/E72)+G72,0)</f>
        <v/>
      </c>
      <c r="R72" s="60">
        <f>IF(B72="SELL",Q72*F72,0)</f>
        <v/>
      </c>
      <c r="S72" s="60">
        <f>S71+R72</f>
        <v/>
      </c>
    </row>
    <row r="73" ht="15.75" customHeight="1" s="94">
      <c r="A73" s="25" t="n"/>
      <c r="B73" s="25">
        <f>IF(D73="","",IF(G73&lt;0,"SELL","BUY"))</f>
        <v/>
      </c>
      <c r="C73" s="25" t="n"/>
      <c r="D73" s="25" t="n"/>
      <c r="E73" s="25" t="n"/>
      <c r="F73" s="25" t="n"/>
      <c r="G73" s="25" t="n"/>
      <c r="H73" s="30" t="n">
        <v>-0.06</v>
      </c>
      <c r="I73" s="30">
        <f>I72+G73+H73</f>
        <v/>
      </c>
      <c r="J73" s="25" t="n"/>
      <c r="K73" s="31">
        <f>IF(AND(B73="SELL",E73&gt;0,J73&lt;&gt;""),J73/E73,0)</f>
        <v/>
      </c>
      <c r="L73" s="25" t="n"/>
      <c r="M73" s="29">
        <f>IF(AND(B73="SELL",L73&gt;0),D73*L73,0)</f>
        <v/>
      </c>
      <c r="N73" s="25" t="n"/>
      <c r="O73" s="32">
        <f>IF(AND(B73="SELL",G73&lt;&gt;0),Q73/ABS(G73),0)</f>
        <v/>
      </c>
      <c r="P73" s="32">
        <f>IF(AND(B73="SELL",D73&gt;0),R73/D73,0)</f>
        <v/>
      </c>
      <c r="Q73" s="33">
        <f>IF(AND(B73="SELL",D73&gt;0,E73&gt;0),(D73/E73)+G73,0)</f>
        <v/>
      </c>
      <c r="R73" s="61">
        <f>IF(B73="SELL",Q73*F73,0)</f>
        <v/>
      </c>
      <c r="S73" s="61">
        <f>S72+R73</f>
        <v/>
      </c>
    </row>
    <row r="74" ht="15.75" customHeight="1" s="94">
      <c r="A74" s="14" t="n"/>
      <c r="B74" s="14">
        <f>IF(D74="","",IF(G74&lt;0,"SELL","BUY"))</f>
        <v/>
      </c>
      <c r="C74" s="14" t="n"/>
      <c r="D74" s="14" t="n"/>
      <c r="E74" s="14" t="n"/>
      <c r="F74" s="14" t="n"/>
      <c r="G74" s="14" t="n"/>
      <c r="H74" s="19" t="n">
        <v>-0.06</v>
      </c>
      <c r="I74" s="19">
        <f>I73+G74+H74</f>
        <v/>
      </c>
      <c r="J74" s="14" t="n"/>
      <c r="K74" s="20">
        <f>IF(AND(B74="SELL",E74&gt;0,J74&lt;&gt;""),J74/E74,0)</f>
        <v/>
      </c>
      <c r="L74" s="14" t="n"/>
      <c r="M74" s="18">
        <f>IF(AND(B74="SELL",L74&gt;0),D74*L74,0)</f>
        <v/>
      </c>
      <c r="N74" s="14" t="n"/>
      <c r="O74" s="21">
        <f>IF(AND(B74="SELL",G74&lt;&gt;0),Q74/ABS(G74),0)</f>
        <v/>
      </c>
      <c r="P74" s="21">
        <f>IF(AND(B74="SELL",D74&gt;0),R74/D74,0)</f>
        <v/>
      </c>
      <c r="Q74" s="22">
        <f>IF(AND(B74="SELL",D74&gt;0,E74&gt;0),(D74/E74)+G74,0)</f>
        <v/>
      </c>
      <c r="R74" s="60">
        <f>IF(B74="SELL",Q74*F74,0)</f>
        <v/>
      </c>
      <c r="S74" s="60">
        <f>S73+R74</f>
        <v/>
      </c>
    </row>
    <row r="75" ht="15.75" customHeight="1" s="94">
      <c r="A75" s="25" t="n"/>
      <c r="B75" s="25">
        <f>IF(D75="","",IF(G75&lt;0,"SELL","BUY"))</f>
        <v/>
      </c>
      <c r="C75" s="25" t="n"/>
      <c r="D75" s="25" t="n"/>
      <c r="E75" s="25" t="n"/>
      <c r="F75" s="25" t="n"/>
      <c r="G75" s="25" t="n"/>
      <c r="H75" s="30" t="n">
        <v>-0.06</v>
      </c>
      <c r="I75" s="30">
        <f>I74+G75+H75</f>
        <v/>
      </c>
      <c r="J75" s="25" t="n"/>
      <c r="K75" s="31">
        <f>IF(AND(B75="SELL",E75&gt;0,J75&lt;&gt;""),J75/E75,0)</f>
        <v/>
      </c>
      <c r="L75" s="25" t="n"/>
      <c r="M75" s="29">
        <f>IF(AND(B75="SELL",L75&gt;0),D75*L75,0)</f>
        <v/>
      </c>
      <c r="N75" s="25" t="n"/>
      <c r="O75" s="32">
        <f>IF(AND(B75="SELL",G75&lt;&gt;0),Q75/ABS(G75),0)</f>
        <v/>
      </c>
      <c r="P75" s="32">
        <f>IF(AND(B75="SELL",D75&gt;0),R75/D75,0)</f>
        <v/>
      </c>
      <c r="Q75" s="33">
        <f>IF(AND(B75="SELL",D75&gt;0,E75&gt;0),(D75/E75)+G75,0)</f>
        <v/>
      </c>
      <c r="R75" s="61">
        <f>IF(B75="SELL",Q75*F75,0)</f>
        <v/>
      </c>
      <c r="S75" s="61">
        <f>S74+R75</f>
        <v/>
      </c>
    </row>
    <row r="76" ht="15.75" customHeight="1" s="94">
      <c r="A76" s="14" t="n"/>
      <c r="B76" s="14">
        <f>IF(D76="","",IF(G76&lt;0,"SELL","BUY"))</f>
        <v/>
      </c>
      <c r="C76" s="14" t="n"/>
      <c r="D76" s="14" t="n"/>
      <c r="E76" s="14" t="n"/>
      <c r="F76" s="14" t="n"/>
      <c r="G76" s="14" t="n"/>
      <c r="H76" s="19" t="n">
        <v>-0.06</v>
      </c>
      <c r="I76" s="19">
        <f>I75+G76+H76</f>
        <v/>
      </c>
      <c r="J76" s="14" t="n"/>
      <c r="K76" s="20">
        <f>IF(AND(B76="SELL",E76&gt;0,J76&lt;&gt;""),J76/E76,0)</f>
        <v/>
      </c>
      <c r="L76" s="14" t="n"/>
      <c r="M76" s="18">
        <f>IF(AND(B76="SELL",L76&gt;0),D76*L76,0)</f>
        <v/>
      </c>
      <c r="N76" s="14" t="n"/>
      <c r="O76" s="21">
        <f>IF(AND(B76="SELL",G76&lt;&gt;0),Q76/ABS(G76),0)</f>
        <v/>
      </c>
      <c r="P76" s="21">
        <f>IF(AND(B76="SELL",D76&gt;0),R76/D76,0)</f>
        <v/>
      </c>
      <c r="Q76" s="22">
        <f>IF(AND(B76="SELL",D76&gt;0,E76&gt;0),(D76/E76)+G76,0)</f>
        <v/>
      </c>
      <c r="R76" s="60">
        <f>IF(B76="SELL",Q76*F76,0)</f>
        <v/>
      </c>
      <c r="S76" s="60">
        <f>S75+R76</f>
        <v/>
      </c>
    </row>
    <row r="77" ht="15.75" customHeight="1" s="94">
      <c r="A77" s="25" t="n"/>
      <c r="B77" s="25">
        <f>IF(D77="","",IF(G77&lt;0,"SELL","BUY"))</f>
        <v/>
      </c>
      <c r="C77" s="25" t="n"/>
      <c r="D77" s="25" t="n"/>
      <c r="E77" s="25" t="n"/>
      <c r="F77" s="25" t="n"/>
      <c r="G77" s="25" t="n"/>
      <c r="H77" s="30" t="n">
        <v>-0.06</v>
      </c>
      <c r="I77" s="30">
        <f>I76+G77+H77</f>
        <v/>
      </c>
      <c r="J77" s="25" t="n"/>
      <c r="K77" s="31">
        <f>IF(AND(B77="SELL",E77&gt;0,J77&lt;&gt;""),J77/E77,0)</f>
        <v/>
      </c>
      <c r="L77" s="25" t="n"/>
      <c r="M77" s="29">
        <f>IF(AND(B77="SELL",L77&gt;0),D77*L77,0)</f>
        <v/>
      </c>
      <c r="N77" s="25" t="n"/>
      <c r="O77" s="32">
        <f>IF(AND(B77="SELL",G77&lt;&gt;0),Q77/ABS(G77),0)</f>
        <v/>
      </c>
      <c r="P77" s="32">
        <f>IF(AND(B77="SELL",D77&gt;0),R77/D77,0)</f>
        <v/>
      </c>
      <c r="Q77" s="33">
        <f>IF(AND(B77="SELL",D77&gt;0,E77&gt;0),(D77/E77)+G77,0)</f>
        <v/>
      </c>
      <c r="R77" s="61">
        <f>IF(B77="SELL",Q77*F77,0)</f>
        <v/>
      </c>
      <c r="S77" s="61">
        <f>S76+R77</f>
        <v/>
      </c>
    </row>
    <row r="78" ht="15.75" customHeight="1" s="94">
      <c r="A78" s="14" t="n"/>
      <c r="B78" s="14">
        <f>IF(D78="","",IF(G78&lt;0,"SELL","BUY"))</f>
        <v/>
      </c>
      <c r="C78" s="14" t="n"/>
      <c r="D78" s="14" t="n"/>
      <c r="E78" s="14" t="n"/>
      <c r="F78" s="14" t="n"/>
      <c r="G78" s="14" t="n"/>
      <c r="H78" s="19" t="n">
        <v>-0.06</v>
      </c>
      <c r="I78" s="19">
        <f>I77+G78+H78</f>
        <v/>
      </c>
      <c r="J78" s="14" t="n"/>
      <c r="K78" s="20">
        <f>IF(AND(B78="SELL",E78&gt;0,J78&lt;&gt;""),J78/E78,0)</f>
        <v/>
      </c>
      <c r="L78" s="14" t="n"/>
      <c r="M78" s="18">
        <f>IF(AND(B78="SELL",L78&gt;0),D78*L78,0)</f>
        <v/>
      </c>
      <c r="N78" s="14" t="n"/>
      <c r="O78" s="21">
        <f>IF(AND(B78="SELL",G78&lt;&gt;0),Q78/ABS(G78),0)</f>
        <v/>
      </c>
      <c r="P78" s="21">
        <f>IF(AND(B78="SELL",D78&gt;0),R78/D78,0)</f>
        <v/>
      </c>
      <c r="Q78" s="22">
        <f>IF(AND(B78="SELL",D78&gt;0,E78&gt;0),(D78/E78)+G78,0)</f>
        <v/>
      </c>
      <c r="R78" s="60">
        <f>IF(B78="SELL",Q78*F78,0)</f>
        <v/>
      </c>
      <c r="S78" s="60">
        <f>S77+R78</f>
        <v/>
      </c>
    </row>
    <row r="79" ht="15.75" customHeight="1" s="94">
      <c r="A79" s="25" t="n"/>
      <c r="B79" s="25">
        <f>IF(D79="","",IF(G79&lt;0,"SELL","BUY"))</f>
        <v/>
      </c>
      <c r="C79" s="25" t="n"/>
      <c r="D79" s="25" t="n"/>
      <c r="E79" s="25" t="n"/>
      <c r="F79" s="25" t="n"/>
      <c r="G79" s="25" t="n"/>
      <c r="H79" s="30" t="n">
        <v>-0.06</v>
      </c>
      <c r="I79" s="30">
        <f>I78+G79+H79</f>
        <v/>
      </c>
      <c r="J79" s="25" t="n"/>
      <c r="K79" s="31">
        <f>IF(AND(B79="SELL",E79&gt;0,J79&lt;&gt;""),J79/E79,0)</f>
        <v/>
      </c>
      <c r="L79" s="25" t="n"/>
      <c r="M79" s="29">
        <f>IF(AND(B79="SELL",L79&gt;0),D79*L79,0)</f>
        <v/>
      </c>
      <c r="N79" s="25" t="n"/>
      <c r="O79" s="32">
        <f>IF(AND(B79="SELL",G79&lt;&gt;0),Q79/ABS(G79),0)</f>
        <v/>
      </c>
      <c r="P79" s="32">
        <f>IF(AND(B79="SELL",D79&gt;0),R79/D79,0)</f>
        <v/>
      </c>
      <c r="Q79" s="33">
        <f>IF(AND(B79="SELL",D79&gt;0,E79&gt;0),(D79/E79)+G79,0)</f>
        <v/>
      </c>
      <c r="R79" s="61">
        <f>IF(B79="SELL",Q79*F79,0)</f>
        <v/>
      </c>
      <c r="S79" s="61">
        <f>S78+R79</f>
        <v/>
      </c>
    </row>
    <row r="80" ht="15.75" customHeight="1" s="94">
      <c r="A80" s="14" t="n"/>
      <c r="B80" s="14">
        <f>IF(D80="","",IF(G80&lt;0,"SELL","BUY"))</f>
        <v/>
      </c>
      <c r="C80" s="14" t="n"/>
      <c r="D80" s="14" t="n"/>
      <c r="E80" s="14" t="n"/>
      <c r="F80" s="14" t="n"/>
      <c r="G80" s="14" t="n"/>
      <c r="H80" s="19" t="n">
        <v>-0.06</v>
      </c>
      <c r="I80" s="19">
        <f>I79+G80+H80</f>
        <v/>
      </c>
      <c r="J80" s="14" t="n"/>
      <c r="K80" s="20">
        <f>IF(AND(B80="SELL",E80&gt;0,J80&lt;&gt;""),J80/E80,0)</f>
        <v/>
      </c>
      <c r="L80" s="14" t="n"/>
      <c r="M80" s="18">
        <f>IF(AND(B80="SELL",L80&gt;0),D80*L80,0)</f>
        <v/>
      </c>
      <c r="N80" s="14" t="n"/>
      <c r="O80" s="21">
        <f>IF(AND(B80="SELL",G80&lt;&gt;0),Q80/ABS(G80),0)</f>
        <v/>
      </c>
      <c r="P80" s="21">
        <f>IF(AND(B80="SELL",D80&gt;0),R80/D80,0)</f>
        <v/>
      </c>
      <c r="Q80" s="22">
        <f>IF(AND(B80="SELL",D80&gt;0,E80&gt;0),(D80/E80)+G80,0)</f>
        <v/>
      </c>
      <c r="R80" s="60">
        <f>IF(B80="SELL",Q80*F80,0)</f>
        <v/>
      </c>
      <c r="S80" s="60">
        <f>S79+R80</f>
        <v/>
      </c>
    </row>
    <row r="81" ht="15.75" customHeight="1" s="94">
      <c r="A81" s="25" t="n"/>
      <c r="B81" s="25">
        <f>IF(D81="","",IF(G81&lt;0,"SELL","BUY"))</f>
        <v/>
      </c>
      <c r="C81" s="25" t="n"/>
      <c r="D81" s="25" t="n"/>
      <c r="E81" s="25" t="n"/>
      <c r="F81" s="25" t="n"/>
      <c r="G81" s="25" t="n"/>
      <c r="H81" s="30" t="n">
        <v>-0.06</v>
      </c>
      <c r="I81" s="30">
        <f>I80+G81+H81</f>
        <v/>
      </c>
      <c r="J81" s="25" t="n"/>
      <c r="K81" s="31">
        <f>IF(AND(B81="SELL",E81&gt;0,J81&lt;&gt;""),J81/E81,0)</f>
        <v/>
      </c>
      <c r="L81" s="25" t="n"/>
      <c r="M81" s="29">
        <f>IF(AND(B81="SELL",L81&gt;0),D81*L81,0)</f>
        <v/>
      </c>
      <c r="N81" s="25" t="n"/>
      <c r="O81" s="32">
        <f>IF(AND(B81="SELL",G81&lt;&gt;0),Q81/ABS(G81),0)</f>
        <v/>
      </c>
      <c r="P81" s="32">
        <f>IF(AND(B81="SELL",D81&gt;0),R81/D81,0)</f>
        <v/>
      </c>
      <c r="Q81" s="33">
        <f>IF(AND(B81="SELL",D81&gt;0,E81&gt;0),(D81/E81)+G81,0)</f>
        <v/>
      </c>
      <c r="R81" s="61">
        <f>IF(B81="SELL",Q81*F81,0)</f>
        <v/>
      </c>
      <c r="S81" s="61">
        <f>S80+R81</f>
        <v/>
      </c>
    </row>
    <row r="82" ht="15.75" customHeight="1" s="94">
      <c r="A82" s="14" t="n"/>
      <c r="B82" s="14">
        <f>IF(D82="","",IF(G82&lt;0,"SELL","BUY"))</f>
        <v/>
      </c>
      <c r="C82" s="14" t="n"/>
      <c r="D82" s="14" t="n"/>
      <c r="E82" s="14" t="n"/>
      <c r="F82" s="14" t="n"/>
      <c r="G82" s="14" t="n"/>
      <c r="H82" s="19" t="n">
        <v>-0.06</v>
      </c>
      <c r="I82" s="19">
        <f>I81+G82+H82</f>
        <v/>
      </c>
      <c r="J82" s="14" t="n"/>
      <c r="K82" s="20">
        <f>IF(AND(B82="SELL",E82&gt;0,J82&lt;&gt;""),J82/E82,0)</f>
        <v/>
      </c>
      <c r="L82" s="14" t="n"/>
      <c r="M82" s="18">
        <f>IF(AND(B82="SELL",L82&gt;0),D82*L82,0)</f>
        <v/>
      </c>
      <c r="N82" s="14" t="n"/>
      <c r="O82" s="21">
        <f>IF(AND(B82="SELL",G82&lt;&gt;0),Q82/ABS(G82),0)</f>
        <v/>
      </c>
      <c r="P82" s="21">
        <f>IF(AND(B82="SELL",D82&gt;0),R82/D82,0)</f>
        <v/>
      </c>
      <c r="Q82" s="22">
        <f>IF(AND(B82="SELL",D82&gt;0,E82&gt;0),(D82/E82)+G82,0)</f>
        <v/>
      </c>
      <c r="R82" s="60">
        <f>IF(B82="SELL",Q82*F82,0)</f>
        <v/>
      </c>
      <c r="S82" s="60">
        <f>S81+R82</f>
        <v/>
      </c>
    </row>
    <row r="83" ht="15.75" customHeight="1" s="94">
      <c r="A83" s="25" t="n"/>
      <c r="B83" s="25">
        <f>IF(D83="","",IF(G83&lt;0,"SELL","BUY"))</f>
        <v/>
      </c>
      <c r="C83" s="25" t="n"/>
      <c r="D83" s="25" t="n"/>
      <c r="E83" s="25" t="n"/>
      <c r="F83" s="25" t="n"/>
      <c r="G83" s="25" t="n"/>
      <c r="H83" s="30" t="n">
        <v>-0.06</v>
      </c>
      <c r="I83" s="30">
        <f>I82+G83+H83</f>
        <v/>
      </c>
      <c r="J83" s="25" t="n"/>
      <c r="K83" s="31">
        <f>IF(AND(B83="SELL",E83&gt;0,J83&lt;&gt;""),J83/E83,0)</f>
        <v/>
      </c>
      <c r="L83" s="25" t="n"/>
      <c r="M83" s="29">
        <f>IF(AND(B83="SELL",L83&gt;0),D83*L83,0)</f>
        <v/>
      </c>
      <c r="N83" s="25" t="n"/>
      <c r="O83" s="32">
        <f>IF(AND(B83="SELL",G83&lt;&gt;0),Q83/ABS(G83),0)</f>
        <v/>
      </c>
      <c r="P83" s="32">
        <f>IF(AND(B83="SELL",D83&gt;0),R83/D83,0)</f>
        <v/>
      </c>
      <c r="Q83" s="33">
        <f>IF(AND(B83="SELL",D83&gt;0,E83&gt;0),(D83/E83)+G83,0)</f>
        <v/>
      </c>
      <c r="R83" s="61">
        <f>IF(B83="SELL",Q83*F83,0)</f>
        <v/>
      </c>
      <c r="S83" s="61">
        <f>S82+R83</f>
        <v/>
      </c>
    </row>
    <row r="84" ht="15.75" customHeight="1" s="94">
      <c r="A84" s="14" t="n"/>
      <c r="B84" s="14">
        <f>IF(D84="","",IF(G84&lt;0,"SELL","BUY"))</f>
        <v/>
      </c>
      <c r="C84" s="14" t="n"/>
      <c r="D84" s="14" t="n"/>
      <c r="E84" s="14" t="n"/>
      <c r="F84" s="14" t="n"/>
      <c r="G84" s="14" t="n"/>
      <c r="H84" s="19" t="n">
        <v>-0.06</v>
      </c>
      <c r="I84" s="19">
        <f>I83+G84+H84</f>
        <v/>
      </c>
      <c r="J84" s="14" t="n"/>
      <c r="K84" s="20">
        <f>IF(AND(B84="SELL",E84&gt;0,J84&lt;&gt;""),J84/E84,0)</f>
        <v/>
      </c>
      <c r="L84" s="14" t="n"/>
      <c r="M84" s="18">
        <f>IF(AND(B84="SELL",L84&gt;0),D84*L84,0)</f>
        <v/>
      </c>
      <c r="N84" s="14" t="n"/>
      <c r="O84" s="21">
        <f>IF(AND(B84="SELL",G84&lt;&gt;0),Q84/ABS(G84),0)</f>
        <v/>
      </c>
      <c r="P84" s="21">
        <f>IF(AND(B84="SELL",D84&gt;0),R84/D84,0)</f>
        <v/>
      </c>
      <c r="Q84" s="22">
        <f>IF(AND(B84="SELL",D84&gt;0,E84&gt;0),(D84/E84)+G84,0)</f>
        <v/>
      </c>
      <c r="R84" s="60">
        <f>IF(B84="SELL",Q84*F84,0)</f>
        <v/>
      </c>
      <c r="S84" s="60">
        <f>S83+R84</f>
        <v/>
      </c>
    </row>
    <row r="85" ht="15.75" customHeight="1" s="94">
      <c r="A85" s="25" t="n"/>
      <c r="B85" s="25">
        <f>IF(D85="","",IF(G85&lt;0,"SELL","BUY"))</f>
        <v/>
      </c>
      <c r="C85" s="25" t="n"/>
      <c r="D85" s="25" t="n"/>
      <c r="E85" s="25" t="n"/>
      <c r="F85" s="25" t="n"/>
      <c r="G85" s="25" t="n"/>
      <c r="H85" s="30" t="n">
        <v>-0.06</v>
      </c>
      <c r="I85" s="30">
        <f>I84+G85+H85</f>
        <v/>
      </c>
      <c r="J85" s="25" t="n"/>
      <c r="K85" s="31">
        <f>IF(AND(B85="SELL",E85&gt;0,J85&lt;&gt;""),J85/E85,0)</f>
        <v/>
      </c>
      <c r="L85" s="25" t="n"/>
      <c r="M85" s="29">
        <f>IF(AND(B85="SELL",L85&gt;0),D85*L85,0)</f>
        <v/>
      </c>
      <c r="N85" s="25" t="n"/>
      <c r="O85" s="32">
        <f>IF(AND(B85="SELL",G85&lt;&gt;0),Q85/ABS(G85),0)</f>
        <v/>
      </c>
      <c r="P85" s="32">
        <f>IF(AND(B85="SELL",D85&gt;0),R85/D85,0)</f>
        <v/>
      </c>
      <c r="Q85" s="33">
        <f>IF(AND(B85="SELL",D85&gt;0,E85&gt;0),(D85/E85)+G85,0)</f>
        <v/>
      </c>
      <c r="R85" s="61">
        <f>IF(B85="SELL",Q85*F85,0)</f>
        <v/>
      </c>
      <c r="S85" s="61">
        <f>S84+R85</f>
        <v/>
      </c>
    </row>
    <row r="86" ht="15.75" customHeight="1" s="94">
      <c r="A86" s="14" t="n"/>
      <c r="B86" s="14">
        <f>IF(D86="","",IF(G86&lt;0,"SELL","BUY"))</f>
        <v/>
      </c>
      <c r="C86" s="14" t="n"/>
      <c r="D86" s="14" t="n"/>
      <c r="E86" s="14" t="n"/>
      <c r="F86" s="14" t="n"/>
      <c r="G86" s="14" t="n"/>
      <c r="H86" s="19" t="n">
        <v>-0.06</v>
      </c>
      <c r="I86" s="19">
        <f>I85+G86+H86</f>
        <v/>
      </c>
      <c r="J86" s="14" t="n"/>
      <c r="K86" s="20">
        <f>IF(AND(B86="SELL",E86&gt;0,J86&lt;&gt;""),J86/E86,0)</f>
        <v/>
      </c>
      <c r="L86" s="14" t="n"/>
      <c r="M86" s="18">
        <f>IF(AND(B86="SELL",L86&gt;0),D86*L86,0)</f>
        <v/>
      </c>
      <c r="N86" s="14" t="n"/>
      <c r="O86" s="21">
        <f>IF(AND(B86="SELL",G86&lt;&gt;0),Q86/ABS(G86),0)</f>
        <v/>
      </c>
      <c r="P86" s="21">
        <f>IF(AND(B86="SELL",D86&gt;0),R86/D86,0)</f>
        <v/>
      </c>
      <c r="Q86" s="22">
        <f>IF(AND(B86="SELL",D86&gt;0,E86&gt;0),(D86/E86)+G86,0)</f>
        <v/>
      </c>
      <c r="R86" s="60">
        <f>IF(B86="SELL",Q86*F86,0)</f>
        <v/>
      </c>
      <c r="S86" s="60">
        <f>S85+R86</f>
        <v/>
      </c>
    </row>
    <row r="87" ht="15.75" customHeight="1" s="94">
      <c r="A87" s="25" t="n"/>
      <c r="B87" s="25">
        <f>IF(D87="","",IF(G87&lt;0,"SELL","BUY"))</f>
        <v/>
      </c>
      <c r="C87" s="25" t="n"/>
      <c r="D87" s="25" t="n"/>
      <c r="E87" s="25" t="n"/>
      <c r="F87" s="25" t="n"/>
      <c r="G87" s="25" t="n"/>
      <c r="H87" s="30" t="n">
        <v>-0.06</v>
      </c>
      <c r="I87" s="30">
        <f>I86+G87+H87</f>
        <v/>
      </c>
      <c r="J87" s="25" t="n"/>
      <c r="K87" s="31">
        <f>IF(AND(B87="SELL",E87&gt;0,J87&lt;&gt;""),J87/E87,0)</f>
        <v/>
      </c>
      <c r="L87" s="25" t="n"/>
      <c r="M87" s="29">
        <f>IF(AND(B87="SELL",L87&gt;0),D87*L87,0)</f>
        <v/>
      </c>
      <c r="N87" s="25" t="n"/>
      <c r="O87" s="32">
        <f>IF(AND(B87="SELL",G87&lt;&gt;0),Q87/ABS(G87),0)</f>
        <v/>
      </c>
      <c r="P87" s="32">
        <f>IF(AND(B87="SELL",D87&gt;0),R87/D87,0)</f>
        <v/>
      </c>
      <c r="Q87" s="33">
        <f>IF(AND(B87="SELL",D87&gt;0,E87&gt;0),(D87/E87)+G87,0)</f>
        <v/>
      </c>
      <c r="R87" s="61">
        <f>IF(B87="SELL",Q87*F87,0)</f>
        <v/>
      </c>
      <c r="S87" s="61">
        <f>S86+R87</f>
        <v/>
      </c>
    </row>
    <row r="88" ht="15.75" customHeight="1" s="94">
      <c r="A88" s="14" t="n"/>
      <c r="B88" s="14">
        <f>IF(D88="","",IF(G88&lt;0,"SELL","BUY"))</f>
        <v/>
      </c>
      <c r="C88" s="14" t="n"/>
      <c r="D88" s="14" t="n"/>
      <c r="E88" s="14" t="n"/>
      <c r="F88" s="14" t="n"/>
      <c r="G88" s="14" t="n"/>
      <c r="H88" s="19" t="n">
        <v>-0.06</v>
      </c>
      <c r="I88" s="19">
        <f>I87+G88+H88</f>
        <v/>
      </c>
      <c r="J88" s="14" t="n"/>
      <c r="K88" s="20">
        <f>IF(AND(B88="SELL",E88&gt;0,J88&lt;&gt;""),J88/E88,0)</f>
        <v/>
      </c>
      <c r="L88" s="14" t="n"/>
      <c r="M88" s="18">
        <f>IF(AND(B88="SELL",L88&gt;0),D88*L88,0)</f>
        <v/>
      </c>
      <c r="N88" s="14" t="n"/>
      <c r="O88" s="21">
        <f>IF(AND(B88="SELL",G88&lt;&gt;0),Q88/ABS(G88),0)</f>
        <v/>
      </c>
      <c r="P88" s="21">
        <f>IF(AND(B88="SELL",D88&gt;0),R88/D88,0)</f>
        <v/>
      </c>
      <c r="Q88" s="22">
        <f>IF(AND(B88="SELL",D88&gt;0,E88&gt;0),(D88/E88)+G88,0)</f>
        <v/>
      </c>
      <c r="R88" s="60">
        <f>IF(B88="SELL",Q88*F88,0)</f>
        <v/>
      </c>
      <c r="S88" s="60">
        <f>S87+R88</f>
        <v/>
      </c>
    </row>
    <row r="89" ht="15.75" customHeight="1" s="94">
      <c r="A89" s="25" t="n"/>
      <c r="B89" s="25">
        <f>IF(D89="","",IF(G89&lt;0,"SELL","BUY"))</f>
        <v/>
      </c>
      <c r="C89" s="25" t="n"/>
      <c r="D89" s="25" t="n"/>
      <c r="E89" s="25" t="n"/>
      <c r="F89" s="25" t="n"/>
      <c r="G89" s="25" t="n"/>
      <c r="H89" s="30" t="n">
        <v>-0.06</v>
      </c>
      <c r="I89" s="30">
        <f>I88+G89+H89</f>
        <v/>
      </c>
      <c r="J89" s="25" t="n"/>
      <c r="K89" s="31">
        <f>IF(AND(B89="SELL",E89&gt;0,J89&lt;&gt;""),J89/E89,0)</f>
        <v/>
      </c>
      <c r="L89" s="25" t="n"/>
      <c r="M89" s="29">
        <f>IF(AND(B89="SELL",L89&gt;0),D89*L89,0)</f>
        <v/>
      </c>
      <c r="N89" s="25" t="n"/>
      <c r="O89" s="32">
        <f>IF(AND(B89="SELL",G89&lt;&gt;0),Q89/ABS(G89),0)</f>
        <v/>
      </c>
      <c r="P89" s="32">
        <f>IF(AND(B89="SELL",D89&gt;0),R89/D89,0)</f>
        <v/>
      </c>
      <c r="Q89" s="33">
        <f>IF(AND(B89="SELL",D89&gt;0,E89&gt;0),(D89/E89)+G89,0)</f>
        <v/>
      </c>
      <c r="R89" s="61">
        <f>IF(B89="SELL",Q89*F89,0)</f>
        <v/>
      </c>
      <c r="S89" s="61">
        <f>S88+R89</f>
        <v/>
      </c>
    </row>
    <row r="90" ht="15.75" customHeight="1" s="94">
      <c r="A90" s="14" t="n"/>
      <c r="B90" s="14">
        <f>IF(D90="","",IF(G90&lt;0,"SELL","BUY"))</f>
        <v/>
      </c>
      <c r="C90" s="14" t="n"/>
      <c r="D90" s="14" t="n"/>
      <c r="E90" s="14" t="n"/>
      <c r="F90" s="14" t="n"/>
      <c r="G90" s="14" t="n"/>
      <c r="H90" s="19" t="n">
        <v>-0.06</v>
      </c>
      <c r="I90" s="19">
        <f>I89+G90+H90</f>
        <v/>
      </c>
      <c r="J90" s="14" t="n"/>
      <c r="K90" s="20">
        <f>IF(AND(B90="SELL",E90&gt;0,J90&lt;&gt;""),J90/E90,0)</f>
        <v/>
      </c>
      <c r="L90" s="14" t="n"/>
      <c r="M90" s="18">
        <f>IF(AND(B90="SELL",L90&gt;0),D90*L90,0)</f>
        <v/>
      </c>
      <c r="N90" s="14" t="n"/>
      <c r="O90" s="21">
        <f>IF(AND(B90="SELL",G90&lt;&gt;0),Q90/ABS(G90),0)</f>
        <v/>
      </c>
      <c r="P90" s="21">
        <f>IF(AND(B90="SELL",D90&gt;0),R90/D90,0)</f>
        <v/>
      </c>
      <c r="Q90" s="22">
        <f>IF(AND(B90="SELL",D90&gt;0,E90&gt;0),(D90/E90)+G90,0)</f>
        <v/>
      </c>
      <c r="R90" s="60">
        <f>IF(B90="SELL",Q90*F90,0)</f>
        <v/>
      </c>
      <c r="S90" s="60">
        <f>S89+R90</f>
        <v/>
      </c>
    </row>
    <row r="91" ht="15.75" customHeight="1" s="94">
      <c r="A91" s="25" t="n"/>
      <c r="B91" s="25">
        <f>IF(D91="","",IF(G91&lt;0,"SELL","BUY"))</f>
        <v/>
      </c>
      <c r="C91" s="25" t="n"/>
      <c r="D91" s="25" t="n"/>
      <c r="E91" s="25" t="n"/>
      <c r="F91" s="25" t="n"/>
      <c r="G91" s="25" t="n"/>
      <c r="H91" s="30" t="n">
        <v>-0.06</v>
      </c>
      <c r="I91" s="30">
        <f>I90+G91+H91</f>
        <v/>
      </c>
      <c r="J91" s="25" t="n"/>
      <c r="K91" s="31">
        <f>IF(AND(B91="SELL",E91&gt;0,J91&lt;&gt;""),J91/E91,0)</f>
        <v/>
      </c>
      <c r="L91" s="25" t="n"/>
      <c r="M91" s="29">
        <f>IF(AND(B91="SELL",L91&gt;0),D91*L91,0)</f>
        <v/>
      </c>
      <c r="N91" s="25" t="n"/>
      <c r="O91" s="32">
        <f>IF(AND(B91="SELL",G91&lt;&gt;0),Q91/ABS(G91),0)</f>
        <v/>
      </c>
      <c r="P91" s="32">
        <f>IF(AND(B91="SELL",D91&gt;0),R91/D91,0)</f>
        <v/>
      </c>
      <c r="Q91" s="33">
        <f>IF(AND(B91="SELL",D91&gt;0,E91&gt;0),(D91/E91)+G91,0)</f>
        <v/>
      </c>
      <c r="R91" s="61">
        <f>IF(B91="SELL",Q91*F91,0)</f>
        <v/>
      </c>
      <c r="S91" s="61">
        <f>S90+R91</f>
        <v/>
      </c>
    </row>
    <row r="92" ht="15.75" customHeight="1" s="94">
      <c r="A92" s="14" t="n"/>
      <c r="B92" s="14">
        <f>IF(D92="","",IF(G92&lt;0,"SELL","BUY"))</f>
        <v/>
      </c>
      <c r="C92" s="14" t="n"/>
      <c r="D92" s="14" t="n"/>
      <c r="E92" s="14" t="n"/>
      <c r="F92" s="14" t="n"/>
      <c r="G92" s="14" t="n"/>
      <c r="H92" s="19" t="n">
        <v>-0.06</v>
      </c>
      <c r="I92" s="19">
        <f>I91+G92+H92</f>
        <v/>
      </c>
      <c r="J92" s="14" t="n"/>
      <c r="K92" s="20">
        <f>IF(AND(B92="SELL",E92&gt;0,J92&lt;&gt;""),J92/E92,0)</f>
        <v/>
      </c>
      <c r="L92" s="14" t="n"/>
      <c r="M92" s="18">
        <f>IF(AND(B92="SELL",L92&gt;0),D92*L92,0)</f>
        <v/>
      </c>
      <c r="N92" s="14" t="n"/>
      <c r="O92" s="21">
        <f>IF(AND(B92="SELL",G92&lt;&gt;0),Q92/ABS(G92),0)</f>
        <v/>
      </c>
      <c r="P92" s="21">
        <f>IF(AND(B92="SELL",D92&gt;0),R92/D92,0)</f>
        <v/>
      </c>
      <c r="Q92" s="22">
        <f>IF(AND(B92="SELL",D92&gt;0,E92&gt;0),(D92/E92)+G92,0)</f>
        <v/>
      </c>
      <c r="R92" s="60">
        <f>IF(B92="SELL",Q92*F92,0)</f>
        <v/>
      </c>
      <c r="S92" s="60">
        <f>S91+R92</f>
        <v/>
      </c>
    </row>
    <row r="93" ht="15.75" customHeight="1" s="94">
      <c r="A93" s="25" t="n"/>
      <c r="B93" s="25">
        <f>IF(D93="","",IF(G93&lt;0,"SELL","BUY"))</f>
        <v/>
      </c>
      <c r="C93" s="25" t="n"/>
      <c r="D93" s="25" t="n"/>
      <c r="E93" s="25" t="n"/>
      <c r="F93" s="25" t="n"/>
      <c r="G93" s="25" t="n"/>
      <c r="H93" s="30" t="n">
        <v>-0.06</v>
      </c>
      <c r="I93" s="30">
        <f>I92+G93+H93</f>
        <v/>
      </c>
      <c r="J93" s="25" t="n"/>
      <c r="K93" s="31">
        <f>IF(AND(B93="SELL",E93&gt;0,J93&lt;&gt;""),J93/E93,0)</f>
        <v/>
      </c>
      <c r="L93" s="25" t="n"/>
      <c r="M93" s="29">
        <f>IF(AND(B93="SELL",L93&gt;0),D93*L93,0)</f>
        <v/>
      </c>
      <c r="N93" s="25" t="n"/>
      <c r="O93" s="32">
        <f>IF(AND(B93="SELL",G93&lt;&gt;0),Q93/ABS(G93),0)</f>
        <v/>
      </c>
      <c r="P93" s="32">
        <f>IF(AND(B93="SELL",D93&gt;0),R93/D93,0)</f>
        <v/>
      </c>
      <c r="Q93" s="33">
        <f>IF(AND(B93="SELL",D93&gt;0,E93&gt;0),(D93/E93)+G93,0)</f>
        <v/>
      </c>
      <c r="R93" s="61">
        <f>IF(B93="SELL",Q93*F93,0)</f>
        <v/>
      </c>
      <c r="S93" s="61">
        <f>S92+R93</f>
        <v/>
      </c>
    </row>
    <row r="94" ht="15.75" customHeight="1" s="94">
      <c r="A94" s="14" t="n"/>
      <c r="B94" s="14">
        <f>IF(D94="","",IF(G94&lt;0,"SELL","BUY"))</f>
        <v/>
      </c>
      <c r="C94" s="14" t="n"/>
      <c r="D94" s="14" t="n"/>
      <c r="E94" s="14" t="n"/>
      <c r="F94" s="14" t="n"/>
      <c r="G94" s="14" t="n"/>
      <c r="H94" s="19" t="n">
        <v>-0.06</v>
      </c>
      <c r="I94" s="19">
        <f>I93+G94+H94</f>
        <v/>
      </c>
      <c r="J94" s="14" t="n"/>
      <c r="K94" s="20">
        <f>IF(AND(B94="SELL",E94&gt;0,J94&lt;&gt;""),J94/E94,0)</f>
        <v/>
      </c>
      <c r="L94" s="14" t="n"/>
      <c r="M94" s="18">
        <f>IF(AND(B94="SELL",L94&gt;0),D94*L94,0)</f>
        <v/>
      </c>
      <c r="N94" s="14" t="n"/>
      <c r="O94" s="21">
        <f>IF(AND(B94="SELL",G94&lt;&gt;0),Q94/ABS(G94),0)</f>
        <v/>
      </c>
      <c r="P94" s="21">
        <f>IF(AND(B94="SELL",D94&gt;0),R94/D94,0)</f>
        <v/>
      </c>
      <c r="Q94" s="22">
        <f>IF(AND(B94="SELL",D94&gt;0,E94&gt;0),(D94/E94)+G94,0)</f>
        <v/>
      </c>
      <c r="R94" s="60">
        <f>IF(B94="SELL",Q94*F94,0)</f>
        <v/>
      </c>
      <c r="S94" s="60">
        <f>S93+R94</f>
        <v/>
      </c>
    </row>
    <row r="95" ht="15.75" customHeight="1" s="94">
      <c r="A95" s="25" t="n"/>
      <c r="B95" s="25">
        <f>IF(D95="","",IF(G95&lt;0,"SELL","BUY"))</f>
        <v/>
      </c>
      <c r="C95" s="25" t="n"/>
      <c r="D95" s="25" t="n"/>
      <c r="E95" s="25" t="n"/>
      <c r="F95" s="25" t="n"/>
      <c r="G95" s="25" t="n"/>
      <c r="H95" s="30" t="n">
        <v>-0.06</v>
      </c>
      <c r="I95" s="30">
        <f>I94+G95+H95</f>
        <v/>
      </c>
      <c r="J95" s="25" t="n"/>
      <c r="K95" s="31">
        <f>IF(AND(B95="SELL",E95&gt;0,J95&lt;&gt;""),J95/E95,0)</f>
        <v/>
      </c>
      <c r="L95" s="25" t="n"/>
      <c r="M95" s="29">
        <f>IF(AND(B95="SELL",L95&gt;0),D95*L95,0)</f>
        <v/>
      </c>
      <c r="N95" s="25" t="n"/>
      <c r="O95" s="32">
        <f>IF(AND(B95="SELL",G95&lt;&gt;0),Q95/ABS(G95),0)</f>
        <v/>
      </c>
      <c r="P95" s="32">
        <f>IF(AND(B95="SELL",D95&gt;0),R95/D95,0)</f>
        <v/>
      </c>
      <c r="Q95" s="33">
        <f>IF(AND(B95="SELL",D95&gt;0,E95&gt;0),(D95/E95)+G95,0)</f>
        <v/>
      </c>
      <c r="R95" s="61">
        <f>IF(B95="SELL",Q95*F95,0)</f>
        <v/>
      </c>
      <c r="S95" s="61">
        <f>S94+R95</f>
        <v/>
      </c>
    </row>
    <row r="96" ht="15.75" customHeight="1" s="94">
      <c r="A96" s="14" t="n"/>
      <c r="B96" s="14">
        <f>IF(D96="","",IF(G96&lt;0,"SELL","BUY"))</f>
        <v/>
      </c>
      <c r="C96" s="14" t="n"/>
      <c r="D96" s="14" t="n"/>
      <c r="E96" s="14" t="n"/>
      <c r="F96" s="14" t="n"/>
      <c r="G96" s="14" t="n"/>
      <c r="H96" s="19" t="n">
        <v>-0.06</v>
      </c>
      <c r="I96" s="19">
        <f>I95+G96+H96</f>
        <v/>
      </c>
      <c r="J96" s="14" t="n"/>
      <c r="K96" s="20">
        <f>IF(AND(B96="SELL",E96&gt;0,J96&lt;&gt;""),J96/E96,0)</f>
        <v/>
      </c>
      <c r="L96" s="14" t="n"/>
      <c r="M96" s="18">
        <f>IF(AND(B96="SELL",L96&gt;0),D96*L96,0)</f>
        <v/>
      </c>
      <c r="N96" s="14" t="n"/>
      <c r="O96" s="21">
        <f>IF(AND(B96="SELL",G96&lt;&gt;0),Q96/ABS(G96),0)</f>
        <v/>
      </c>
      <c r="P96" s="21">
        <f>IF(AND(B96="SELL",D96&gt;0),R96/D96,0)</f>
        <v/>
      </c>
      <c r="Q96" s="22">
        <f>IF(AND(B96="SELL",D96&gt;0,E96&gt;0),(D96/E96)+G96,0)</f>
        <v/>
      </c>
      <c r="R96" s="60">
        <f>IF(B96="SELL",Q96*F96,0)</f>
        <v/>
      </c>
      <c r="S96" s="60">
        <f>S95+R96</f>
        <v/>
      </c>
    </row>
    <row r="97" ht="15.75" customHeight="1" s="94">
      <c r="A97" s="25" t="n"/>
      <c r="B97" s="25">
        <f>IF(D97="","",IF(G97&lt;0,"SELL","BUY"))</f>
        <v/>
      </c>
      <c r="C97" s="25" t="n"/>
      <c r="D97" s="25" t="n"/>
      <c r="E97" s="25" t="n"/>
      <c r="F97" s="25" t="n"/>
      <c r="G97" s="25" t="n"/>
      <c r="H97" s="30" t="n">
        <v>-0.06</v>
      </c>
      <c r="I97" s="30">
        <f>I96+G97+H97</f>
        <v/>
      </c>
      <c r="J97" s="25" t="n"/>
      <c r="K97" s="31">
        <f>IF(AND(B97="SELL",E97&gt;0,J97&lt;&gt;""),J97/E97,0)</f>
        <v/>
      </c>
      <c r="L97" s="25" t="n"/>
      <c r="M97" s="29">
        <f>IF(AND(B97="SELL",L97&gt;0),D97*L97,0)</f>
        <v/>
      </c>
      <c r="N97" s="25" t="n"/>
      <c r="O97" s="32">
        <f>IF(AND(B97="SELL",G97&lt;&gt;0),Q97/ABS(G97),0)</f>
        <v/>
      </c>
      <c r="P97" s="32">
        <f>IF(AND(B97="SELL",D97&gt;0),R97/D97,0)</f>
        <v/>
      </c>
      <c r="Q97" s="33">
        <f>IF(AND(B97="SELL",D97&gt;0,E97&gt;0),(D97/E97)+G97,0)</f>
        <v/>
      </c>
      <c r="R97" s="61">
        <f>IF(B97="SELL",Q97*F97,0)</f>
        <v/>
      </c>
      <c r="S97" s="61">
        <f>S96+R97</f>
        <v/>
      </c>
    </row>
    <row r="98" ht="15.75" customHeight="1" s="94">
      <c r="A98" s="14" t="n"/>
      <c r="B98" s="14">
        <f>IF(D98="","",IF(G98&lt;0,"SELL","BUY"))</f>
        <v/>
      </c>
      <c r="C98" s="14" t="n"/>
      <c r="D98" s="14" t="n"/>
      <c r="E98" s="14" t="n"/>
      <c r="F98" s="14" t="n"/>
      <c r="G98" s="14" t="n"/>
      <c r="H98" s="19" t="n">
        <v>-0.06</v>
      </c>
      <c r="I98" s="19">
        <f>I97+G98+H98</f>
        <v/>
      </c>
      <c r="J98" s="14" t="n"/>
      <c r="K98" s="20">
        <f>IF(AND(B98="SELL",E98&gt;0,J98&lt;&gt;""),J98/E98,0)</f>
        <v/>
      </c>
      <c r="L98" s="14" t="n"/>
      <c r="M98" s="18">
        <f>IF(AND(B98="SELL",L98&gt;0),D98*L98,0)</f>
        <v/>
      </c>
      <c r="N98" s="14" t="n"/>
      <c r="O98" s="21">
        <f>IF(AND(B98="SELL",G98&lt;&gt;0),Q98/ABS(G98),0)</f>
        <v/>
      </c>
      <c r="P98" s="21">
        <f>IF(AND(B98="SELL",D98&gt;0),R98/D98,0)</f>
        <v/>
      </c>
      <c r="Q98" s="22">
        <f>IF(AND(B98="SELL",D98&gt;0,E98&gt;0),(D98/E98)+G98,0)</f>
        <v/>
      </c>
      <c r="R98" s="60">
        <f>IF(B98="SELL",Q98*F98,0)</f>
        <v/>
      </c>
      <c r="S98" s="60">
        <f>S97+R98</f>
        <v/>
      </c>
    </row>
    <row r="99" ht="15.75" customHeight="1" s="94">
      <c r="A99" s="25" t="n"/>
      <c r="B99" s="25">
        <f>IF(D99="","",IF(G99&lt;0,"SELL","BUY"))</f>
        <v/>
      </c>
      <c r="C99" s="25" t="n"/>
      <c r="D99" s="25" t="n"/>
      <c r="E99" s="25" t="n"/>
      <c r="F99" s="25" t="n"/>
      <c r="G99" s="25" t="n"/>
      <c r="H99" s="30" t="n">
        <v>-0.06</v>
      </c>
      <c r="I99" s="30">
        <f>I98+G99+H99</f>
        <v/>
      </c>
      <c r="J99" s="25" t="n"/>
      <c r="K99" s="31">
        <f>IF(AND(B99="SELL",E99&gt;0,J99&lt;&gt;""),J99/E99,0)</f>
        <v/>
      </c>
      <c r="L99" s="25" t="n"/>
      <c r="M99" s="29">
        <f>IF(AND(B99="SELL",L99&gt;0),D99*L99,0)</f>
        <v/>
      </c>
      <c r="N99" s="25" t="n"/>
      <c r="O99" s="32">
        <f>IF(AND(B99="SELL",G99&lt;&gt;0),Q99/ABS(G99),0)</f>
        <v/>
      </c>
      <c r="P99" s="32">
        <f>IF(AND(B99="SELL",D99&gt;0),R99/D99,0)</f>
        <v/>
      </c>
      <c r="Q99" s="33">
        <f>IF(AND(B99="SELL",D99&gt;0,E99&gt;0),(D99/E99)+G99,0)</f>
        <v/>
      </c>
      <c r="R99" s="61">
        <f>IF(B99="SELL",Q99*F99,0)</f>
        <v/>
      </c>
      <c r="S99" s="61">
        <f>S98+R99</f>
        <v/>
      </c>
    </row>
    <row r="100" ht="15.75" customHeight="1" s="94">
      <c r="A100" s="14" t="n"/>
      <c r="B100" s="14">
        <f>IF(D100="","",IF(G100&lt;0,"SELL","BUY"))</f>
        <v/>
      </c>
      <c r="C100" s="14" t="n"/>
      <c r="D100" s="14" t="n"/>
      <c r="E100" s="14" t="n"/>
      <c r="F100" s="14" t="n"/>
      <c r="G100" s="14" t="n"/>
      <c r="H100" s="19" t="n">
        <v>-0.06</v>
      </c>
      <c r="I100" s="19">
        <f>I99+G100+H100</f>
        <v/>
      </c>
      <c r="J100" s="14" t="n"/>
      <c r="K100" s="20">
        <f>IF(AND(B100="SELL",E100&gt;0,J100&lt;&gt;""),J100/E100,0)</f>
        <v/>
      </c>
      <c r="L100" s="14" t="n"/>
      <c r="M100" s="18">
        <f>IF(AND(B100="SELL",L100&gt;0),D100*L100,0)</f>
        <v/>
      </c>
      <c r="N100" s="14" t="n"/>
      <c r="O100" s="21">
        <f>IF(AND(B100="SELL",G100&lt;&gt;0),Q100/ABS(G100),0)</f>
        <v/>
      </c>
      <c r="P100" s="21">
        <f>IF(AND(B100="SELL",D100&gt;0),R100/D100,0)</f>
        <v/>
      </c>
      <c r="Q100" s="22">
        <f>IF(AND(B100="SELL",D100&gt;0,E100&gt;0),(D100/E100)+G100,0)</f>
        <v/>
      </c>
      <c r="R100" s="60">
        <f>IF(B100="SELL",Q100*F100,0)</f>
        <v/>
      </c>
      <c r="S100" s="60">
        <f>S99+R100</f>
        <v/>
      </c>
    </row>
    <row r="101" ht="15.75" customHeight="1" s="94">
      <c r="A101" s="25" t="n"/>
      <c r="B101" s="25">
        <f>IF(D101="","",IF(G101&lt;0,"SELL","BUY"))</f>
        <v/>
      </c>
      <c r="C101" s="25" t="n"/>
      <c r="D101" s="25" t="n"/>
      <c r="E101" s="25" t="n"/>
      <c r="F101" s="25" t="n"/>
      <c r="G101" s="25" t="n"/>
      <c r="H101" s="30" t="n">
        <v>-0.06</v>
      </c>
      <c r="I101" s="30">
        <f>I100+G101+H101</f>
        <v/>
      </c>
      <c r="J101" s="25" t="n"/>
      <c r="K101" s="31">
        <f>IF(AND(B101="SELL",E101&gt;0,J101&lt;&gt;""),J101/E101,0)</f>
        <v/>
      </c>
      <c r="L101" s="25" t="n"/>
      <c r="M101" s="29">
        <f>IF(AND(B101="SELL",L101&gt;0),D101*L101,0)</f>
        <v/>
      </c>
      <c r="N101" s="25" t="n"/>
      <c r="O101" s="32">
        <f>IF(AND(B101="SELL",G101&lt;&gt;0),Q101/ABS(G101),0)</f>
        <v/>
      </c>
      <c r="P101" s="32">
        <f>IF(AND(B101="SELL",D101&gt;0),R101/D101,0)</f>
        <v/>
      </c>
      <c r="Q101" s="33">
        <f>IF(AND(B101="SELL",D101&gt;0,E101&gt;0),(D101/E101)+G101,0)</f>
        <v/>
      </c>
      <c r="R101" s="61">
        <f>IF(B101="SELL",Q101*F101,0)</f>
        <v/>
      </c>
      <c r="S101" s="61">
        <f>S100+R101</f>
        <v/>
      </c>
    </row>
    <row r="102" ht="15.75" customHeight="1" s="94">
      <c r="A102" s="14" t="n"/>
      <c r="B102" s="14">
        <f>IF(D102="","",IF(G102&lt;0,"SELL","BUY"))</f>
        <v/>
      </c>
      <c r="C102" s="14" t="n"/>
      <c r="D102" s="14" t="n"/>
      <c r="E102" s="14" t="n"/>
      <c r="F102" s="14" t="n"/>
      <c r="G102" s="14" t="n"/>
      <c r="H102" s="19" t="n">
        <v>-0.06</v>
      </c>
      <c r="I102" s="19">
        <f>I101+G102+H102</f>
        <v/>
      </c>
      <c r="J102" s="14" t="n"/>
      <c r="K102" s="20">
        <f>IF(AND(B102="SELL",E102&gt;0,J102&lt;&gt;""),J102/E102,0)</f>
        <v/>
      </c>
      <c r="L102" s="14" t="n"/>
      <c r="M102" s="18">
        <f>IF(AND(B102="SELL",L102&gt;0),D102*L102,0)</f>
        <v/>
      </c>
      <c r="N102" s="14" t="n"/>
      <c r="O102" s="21">
        <f>IF(AND(B102="SELL",G102&lt;&gt;0),Q102/ABS(G102),0)</f>
        <v/>
      </c>
      <c r="P102" s="21">
        <f>IF(AND(B102="SELL",D102&gt;0),R102/D102,0)</f>
        <v/>
      </c>
      <c r="Q102" s="22">
        <f>IF(AND(B102="SELL",D102&gt;0,E102&gt;0),(D102/E102)+G102,0)</f>
        <v/>
      </c>
      <c r="R102" s="60">
        <f>IF(B102="SELL",Q102*F102,0)</f>
        <v/>
      </c>
      <c r="S102" s="60">
        <f>S101+R102</f>
        <v/>
      </c>
    </row>
    <row r="103" ht="15.75" customHeight="1" s="94">
      <c r="A103" s="25" t="n"/>
      <c r="B103" s="25">
        <f>IF(D103="","",IF(G103&lt;0,"SELL","BUY"))</f>
        <v/>
      </c>
      <c r="C103" s="25" t="n"/>
      <c r="D103" s="25" t="n"/>
      <c r="E103" s="25" t="n"/>
      <c r="F103" s="25" t="n"/>
      <c r="G103" s="25" t="n"/>
      <c r="H103" s="30" t="n">
        <v>-0.06</v>
      </c>
      <c r="I103" s="30">
        <f>I102+G103+H103</f>
        <v/>
      </c>
      <c r="J103" s="25" t="n"/>
      <c r="K103" s="31">
        <f>IF(AND(B103="SELL",E103&gt;0,J103&lt;&gt;""),J103/E103,0)</f>
        <v/>
      </c>
      <c r="L103" s="25" t="n"/>
      <c r="M103" s="29">
        <f>IF(AND(B103="SELL",L103&gt;0),D103*L103,0)</f>
        <v/>
      </c>
      <c r="N103" s="25" t="n"/>
      <c r="O103" s="32">
        <f>IF(AND(B103="SELL",G103&lt;&gt;0),Q103/ABS(G103),0)</f>
        <v/>
      </c>
      <c r="P103" s="32">
        <f>IF(AND(B103="SELL",D103&gt;0),R103/D103,0)</f>
        <v/>
      </c>
      <c r="Q103" s="33">
        <f>IF(AND(B103="SELL",D103&gt;0,E103&gt;0),(D103/E103)+G103,0)</f>
        <v/>
      </c>
      <c r="R103" s="61">
        <f>IF(B103="SELL",Q103*F103,0)</f>
        <v/>
      </c>
      <c r="S103" s="61">
        <f>S102+R103</f>
        <v/>
      </c>
    </row>
    <row r="104" ht="15.75" customHeight="1" s="94">
      <c r="A104" s="14" t="n"/>
      <c r="B104" s="14">
        <f>IF(D104="","",IF(G104&lt;0,"SELL","BUY"))</f>
        <v/>
      </c>
      <c r="C104" s="14" t="n"/>
      <c r="D104" s="14" t="n"/>
      <c r="E104" s="14" t="n"/>
      <c r="F104" s="14" t="n"/>
      <c r="G104" s="14" t="n"/>
      <c r="H104" s="19" t="n">
        <v>-0.06</v>
      </c>
      <c r="I104" s="19">
        <f>I103+G104+H104</f>
        <v/>
      </c>
      <c r="J104" s="14" t="n"/>
      <c r="K104" s="20">
        <f>IF(AND(B104="SELL",E104&gt;0,J104&lt;&gt;""),J104/E104,0)</f>
        <v/>
      </c>
      <c r="L104" s="14" t="n"/>
      <c r="M104" s="18">
        <f>IF(AND(B104="SELL",L104&gt;0),D104*L104,0)</f>
        <v/>
      </c>
      <c r="N104" s="14" t="n"/>
      <c r="O104" s="21">
        <f>IF(AND(B104="SELL",G104&lt;&gt;0),Q104/ABS(G104),0)</f>
        <v/>
      </c>
      <c r="P104" s="21">
        <f>IF(AND(B104="SELL",D104&gt;0),R104/D104,0)</f>
        <v/>
      </c>
      <c r="Q104" s="22">
        <f>IF(AND(B104="SELL",D104&gt;0,E104&gt;0),(D104/E104)+G104,0)</f>
        <v/>
      </c>
      <c r="R104" s="60">
        <f>IF(B104="SELL",Q104*F104,0)</f>
        <v/>
      </c>
      <c r="S104" s="60">
        <f>S103+R104</f>
        <v/>
      </c>
    </row>
    <row r="105" ht="15.75" customHeight="1" s="94">
      <c r="A105" s="25" t="n"/>
      <c r="B105" s="25">
        <f>IF(D105="","",IF(G105&lt;0,"SELL","BUY"))</f>
        <v/>
      </c>
      <c r="C105" s="25" t="n"/>
      <c r="D105" s="25" t="n"/>
      <c r="E105" s="25" t="n"/>
      <c r="F105" s="25" t="n"/>
      <c r="G105" s="25" t="n"/>
      <c r="H105" s="30" t="n">
        <v>-0.06</v>
      </c>
      <c r="I105" s="30">
        <f>I104+G105+H105</f>
        <v/>
      </c>
      <c r="J105" s="25" t="n"/>
      <c r="K105" s="31">
        <f>IF(AND(B105="SELL",E105&gt;0,J105&lt;&gt;""),J105/E105,0)</f>
        <v/>
      </c>
      <c r="L105" s="25" t="n"/>
      <c r="M105" s="29">
        <f>IF(AND(B105="SELL",L105&gt;0),D105*L105,0)</f>
        <v/>
      </c>
      <c r="N105" s="25" t="n"/>
      <c r="O105" s="32">
        <f>IF(AND(B105="SELL",G105&lt;&gt;0),Q105/ABS(G105),0)</f>
        <v/>
      </c>
      <c r="P105" s="32">
        <f>IF(AND(B105="SELL",D105&gt;0),R105/D105,0)</f>
        <v/>
      </c>
      <c r="Q105" s="33">
        <f>IF(AND(B105="SELL",D105&gt;0,E105&gt;0),(D105/E105)+G105,0)</f>
        <v/>
      </c>
      <c r="R105" s="61">
        <f>IF(B105="SELL",Q105*F105,0)</f>
        <v/>
      </c>
      <c r="S105" s="61">
        <f>S104+R105</f>
        <v/>
      </c>
    </row>
    <row r="106" ht="15.75" customHeight="1" s="94">
      <c r="A106" s="14" t="n"/>
      <c r="B106" s="14">
        <f>IF(D106="","",IF(G106&lt;0,"SELL","BUY"))</f>
        <v/>
      </c>
      <c r="C106" s="14" t="n"/>
      <c r="D106" s="14" t="n"/>
      <c r="E106" s="14" t="n"/>
      <c r="F106" s="14" t="n"/>
      <c r="G106" s="14" t="n"/>
      <c r="H106" s="19" t="n">
        <v>-0.06</v>
      </c>
      <c r="I106" s="19">
        <f>I105+G106+H106</f>
        <v/>
      </c>
      <c r="J106" s="14" t="n"/>
      <c r="K106" s="20">
        <f>IF(AND(B106="SELL",E106&gt;0,J106&lt;&gt;""),J106/E106,0)</f>
        <v/>
      </c>
      <c r="L106" s="14" t="n"/>
      <c r="M106" s="18">
        <f>IF(AND(B106="SELL",L106&gt;0),D106*L106,0)</f>
        <v/>
      </c>
      <c r="N106" s="14" t="n"/>
      <c r="O106" s="21">
        <f>IF(AND(B106="SELL",G106&lt;&gt;0),Q106/ABS(G106),0)</f>
        <v/>
      </c>
      <c r="P106" s="21">
        <f>IF(AND(B106="SELL",D106&gt;0),R106/D106,0)</f>
        <v/>
      </c>
      <c r="Q106" s="22">
        <f>IF(AND(B106="SELL",D106&gt;0,E106&gt;0),(D106/E106)+G106,0)</f>
        <v/>
      </c>
      <c r="R106" s="60">
        <f>IF(B106="SELL",Q106*F106,0)</f>
        <v/>
      </c>
      <c r="S106" s="60">
        <f>S105+R106</f>
        <v/>
      </c>
    </row>
    <row r="107" ht="15.75" customHeight="1" s="94">
      <c r="A107" s="25" t="n"/>
      <c r="B107" s="25">
        <f>IF(D107="","",IF(G107&lt;0,"SELL","BUY"))</f>
        <v/>
      </c>
      <c r="C107" s="25" t="n"/>
      <c r="D107" s="25" t="n"/>
      <c r="E107" s="25" t="n"/>
      <c r="F107" s="25" t="n"/>
      <c r="G107" s="25" t="n"/>
      <c r="H107" s="30" t="n">
        <v>-0.06</v>
      </c>
      <c r="I107" s="30">
        <f>I106+G107+H107</f>
        <v/>
      </c>
      <c r="J107" s="25" t="n"/>
      <c r="K107" s="31">
        <f>IF(AND(B107="SELL",E107&gt;0,J107&lt;&gt;""),J107/E107,0)</f>
        <v/>
      </c>
      <c r="L107" s="25" t="n"/>
      <c r="M107" s="29">
        <f>IF(AND(B107="SELL",L107&gt;0),D107*L107,0)</f>
        <v/>
      </c>
      <c r="N107" s="25" t="n"/>
      <c r="O107" s="32">
        <f>IF(AND(B107="SELL",G107&lt;&gt;0),Q107/ABS(G107),0)</f>
        <v/>
      </c>
      <c r="P107" s="32">
        <f>IF(AND(B107="SELL",D107&gt;0),R107/D107,0)</f>
        <v/>
      </c>
      <c r="Q107" s="33">
        <f>IF(AND(B107="SELL",D107&gt;0,E107&gt;0),(D107/E107)+G107,0)</f>
        <v/>
      </c>
      <c r="R107" s="61">
        <f>IF(B107="SELL",Q107*F107,0)</f>
        <v/>
      </c>
      <c r="S107" s="61">
        <f>S106+R107</f>
        <v/>
      </c>
    </row>
    <row r="108" ht="15.75" customHeight="1" s="94">
      <c r="A108" s="14" t="n"/>
      <c r="B108" s="14">
        <f>IF(D108="","",IF(G108&lt;0,"SELL","BUY"))</f>
        <v/>
      </c>
      <c r="C108" s="14" t="n"/>
      <c r="D108" s="14" t="n"/>
      <c r="E108" s="14" t="n"/>
      <c r="F108" s="14" t="n"/>
      <c r="G108" s="14" t="n"/>
      <c r="H108" s="19" t="n">
        <v>-0.06</v>
      </c>
      <c r="I108" s="19">
        <f>I107+G108+H108</f>
        <v/>
      </c>
      <c r="J108" s="14" t="n"/>
      <c r="K108" s="20">
        <f>IF(AND(B108="SELL",E108&gt;0,J108&lt;&gt;""),J108/E108,0)</f>
        <v/>
      </c>
      <c r="L108" s="14" t="n"/>
      <c r="M108" s="18">
        <f>IF(AND(B108="SELL",L108&gt;0),D108*L108,0)</f>
        <v/>
      </c>
      <c r="N108" s="14" t="n"/>
      <c r="O108" s="21">
        <f>IF(AND(B108="SELL",G108&lt;&gt;0),Q108/ABS(G108),0)</f>
        <v/>
      </c>
      <c r="P108" s="21">
        <f>IF(AND(B108="SELL",D108&gt;0),R108/D108,0)</f>
        <v/>
      </c>
      <c r="Q108" s="22">
        <f>IF(AND(B108="SELL",D108&gt;0,E108&gt;0),(D108/E108)+G108,0)</f>
        <v/>
      </c>
      <c r="R108" s="60">
        <f>IF(B108="SELL",Q108*F108,0)</f>
        <v/>
      </c>
      <c r="S108" s="60">
        <f>S107+R108</f>
        <v/>
      </c>
    </row>
    <row r="109" ht="15.75" customHeight="1" s="94">
      <c r="A109" s="25" t="n"/>
      <c r="B109" s="25">
        <f>IF(D109="","",IF(G109&lt;0,"SELL","BUY"))</f>
        <v/>
      </c>
      <c r="C109" s="25" t="n"/>
      <c r="D109" s="25" t="n"/>
      <c r="E109" s="25" t="n"/>
      <c r="F109" s="25" t="n"/>
      <c r="G109" s="25" t="n"/>
      <c r="H109" s="30" t="n">
        <v>-0.06</v>
      </c>
      <c r="I109" s="30">
        <f>I108+G109+H109</f>
        <v/>
      </c>
      <c r="J109" s="25" t="n"/>
      <c r="K109" s="31">
        <f>IF(AND(B109="SELL",E109&gt;0,J109&lt;&gt;""),J109/E109,0)</f>
        <v/>
      </c>
      <c r="L109" s="25" t="n"/>
      <c r="M109" s="29">
        <f>IF(AND(B109="SELL",L109&gt;0),D109*L109,0)</f>
        <v/>
      </c>
      <c r="N109" s="25" t="n"/>
      <c r="O109" s="32">
        <f>IF(AND(B109="SELL",G109&lt;&gt;0),Q109/ABS(G109),0)</f>
        <v/>
      </c>
      <c r="P109" s="32">
        <f>IF(AND(B109="SELL",D109&gt;0),R109/D109,0)</f>
        <v/>
      </c>
      <c r="Q109" s="33">
        <f>IF(AND(B109="SELL",D109&gt;0,E109&gt;0),(D109/E109)+G109,0)</f>
        <v/>
      </c>
      <c r="R109" s="61">
        <f>IF(B109="SELL",Q109*F109,0)</f>
        <v/>
      </c>
      <c r="S109" s="61">
        <f>S108+R109</f>
        <v/>
      </c>
    </row>
    <row r="110" ht="15.75" customHeight="1" s="94">
      <c r="A110" s="14" t="n"/>
      <c r="B110" s="14">
        <f>IF(D110="","",IF(G110&lt;0,"SELL","BUY"))</f>
        <v/>
      </c>
      <c r="C110" s="14" t="n"/>
      <c r="D110" s="14" t="n"/>
      <c r="E110" s="14" t="n"/>
      <c r="F110" s="14" t="n"/>
      <c r="G110" s="14" t="n"/>
      <c r="H110" s="19" t="n">
        <v>-0.06</v>
      </c>
      <c r="I110" s="19">
        <f>I109+G110+H110</f>
        <v/>
      </c>
      <c r="J110" s="14" t="n"/>
      <c r="K110" s="20">
        <f>IF(AND(B110="SELL",E110&gt;0,J110&lt;&gt;""),J110/E110,0)</f>
        <v/>
      </c>
      <c r="L110" s="14" t="n"/>
      <c r="M110" s="18">
        <f>IF(AND(B110="SELL",L110&gt;0),D110*L110,0)</f>
        <v/>
      </c>
      <c r="N110" s="14" t="n"/>
      <c r="O110" s="21">
        <f>IF(AND(B110="SELL",G110&lt;&gt;0),Q110/ABS(G110),0)</f>
        <v/>
      </c>
      <c r="P110" s="21">
        <f>IF(AND(B110="SELL",D110&gt;0),R110/D110,0)</f>
        <v/>
      </c>
      <c r="Q110" s="22">
        <f>IF(AND(B110="SELL",D110&gt;0,E110&gt;0),(D110/E110)+G110,0)</f>
        <v/>
      </c>
      <c r="R110" s="60">
        <f>IF(B110="SELL",Q110*F110,0)</f>
        <v/>
      </c>
      <c r="S110" s="60">
        <f>S109+R110</f>
        <v/>
      </c>
    </row>
    <row r="111" ht="15.75" customHeight="1" s="94">
      <c r="A111" s="25" t="n"/>
      <c r="B111" s="25">
        <f>IF(D111="","",IF(G111&lt;0,"SELL","BUY"))</f>
        <v/>
      </c>
      <c r="C111" s="25" t="n"/>
      <c r="D111" s="25" t="n"/>
      <c r="E111" s="25" t="n"/>
      <c r="F111" s="25" t="n"/>
      <c r="G111" s="25" t="n"/>
      <c r="H111" s="30" t="n">
        <v>-0.06</v>
      </c>
      <c r="I111" s="30">
        <f>I110+G111+H111</f>
        <v/>
      </c>
      <c r="J111" s="25" t="n"/>
      <c r="K111" s="31">
        <f>IF(AND(B111="SELL",E111&gt;0,J111&lt;&gt;""),J111/E111,0)</f>
        <v/>
      </c>
      <c r="L111" s="25" t="n"/>
      <c r="M111" s="29">
        <f>IF(AND(B111="SELL",L111&gt;0),D111*L111,0)</f>
        <v/>
      </c>
      <c r="N111" s="25" t="n"/>
      <c r="O111" s="32">
        <f>IF(AND(B111="SELL",G111&lt;&gt;0),Q111/ABS(G111),0)</f>
        <v/>
      </c>
      <c r="P111" s="32">
        <f>IF(AND(B111="SELL",D111&gt;0),R111/D111,0)</f>
        <v/>
      </c>
      <c r="Q111" s="33">
        <f>IF(AND(B111="SELL",D111&gt;0,E111&gt;0),(D111/E111)+G111,0)</f>
        <v/>
      </c>
      <c r="R111" s="61">
        <f>IF(B111="SELL",Q111*F111,0)</f>
        <v/>
      </c>
      <c r="S111" s="61">
        <f>S110+R111</f>
        <v/>
      </c>
    </row>
    <row r="112" ht="15.75" customHeight="1" s="94">
      <c r="A112" s="14" t="n"/>
      <c r="B112" s="14">
        <f>IF(D112="","",IF(G112&lt;0,"SELL","BUY"))</f>
        <v/>
      </c>
      <c r="C112" s="14" t="n"/>
      <c r="D112" s="14" t="n"/>
      <c r="E112" s="14" t="n"/>
      <c r="F112" s="14" t="n"/>
      <c r="G112" s="14" t="n"/>
      <c r="H112" s="19" t="n">
        <v>-0.06</v>
      </c>
      <c r="I112" s="19">
        <f>I111+G112+H112</f>
        <v/>
      </c>
      <c r="J112" s="14" t="n"/>
      <c r="K112" s="20">
        <f>IF(AND(B112="SELL",E112&gt;0,J112&lt;&gt;""),J112/E112,0)</f>
        <v/>
      </c>
      <c r="L112" s="14" t="n"/>
      <c r="M112" s="18">
        <f>IF(AND(B112="SELL",L112&gt;0),D112*L112,0)</f>
        <v/>
      </c>
      <c r="N112" s="14" t="n"/>
      <c r="O112" s="21">
        <f>IF(AND(B112="SELL",G112&lt;&gt;0),Q112/ABS(G112),0)</f>
        <v/>
      </c>
      <c r="P112" s="21">
        <f>IF(AND(B112="SELL",D112&gt;0),R112/D112,0)</f>
        <v/>
      </c>
      <c r="Q112" s="22">
        <f>IF(AND(B112="SELL",D112&gt;0,E112&gt;0),(D112/E112)+G112,0)</f>
        <v/>
      </c>
      <c r="R112" s="60">
        <f>IF(B112="SELL",Q112*F112,0)</f>
        <v/>
      </c>
      <c r="S112" s="60">
        <f>S111+R112</f>
        <v/>
      </c>
    </row>
    <row r="113" ht="15.75" customHeight="1" s="94">
      <c r="A113" s="25" t="n"/>
      <c r="B113" s="25">
        <f>IF(D113="","",IF(G113&lt;0,"SELL","BUY"))</f>
        <v/>
      </c>
      <c r="C113" s="25" t="n"/>
      <c r="D113" s="25" t="n"/>
      <c r="E113" s="25" t="n"/>
      <c r="F113" s="25" t="n"/>
      <c r="G113" s="25" t="n"/>
      <c r="H113" s="30" t="n">
        <v>-0.06</v>
      </c>
      <c r="I113" s="30">
        <f>I112+G113+H113</f>
        <v/>
      </c>
      <c r="J113" s="25" t="n"/>
      <c r="K113" s="31">
        <f>IF(AND(B113="SELL",E113&gt;0,J113&lt;&gt;""),J113/E113,0)</f>
        <v/>
      </c>
      <c r="L113" s="25" t="n"/>
      <c r="M113" s="29">
        <f>IF(AND(B113="SELL",L113&gt;0),D113*L113,0)</f>
        <v/>
      </c>
      <c r="N113" s="25" t="n"/>
      <c r="O113" s="32">
        <f>IF(AND(B113="SELL",G113&lt;&gt;0),Q113/ABS(G113),0)</f>
        <v/>
      </c>
      <c r="P113" s="32">
        <f>IF(AND(B113="SELL",D113&gt;0),R113/D113,0)</f>
        <v/>
      </c>
      <c r="Q113" s="33">
        <f>IF(AND(B113="SELL",D113&gt;0,E113&gt;0),(D113/E113)+G113,0)</f>
        <v/>
      </c>
      <c r="R113" s="61">
        <f>IF(B113="SELL",Q113*F113,0)</f>
        <v/>
      </c>
      <c r="S113" s="61">
        <f>S112+R113</f>
        <v/>
      </c>
    </row>
    <row r="114" ht="15.75" customHeight="1" s="94">
      <c r="A114" s="14" t="n"/>
      <c r="B114" s="14">
        <f>IF(D114="","",IF(G114&lt;0,"SELL","BUY"))</f>
        <v/>
      </c>
      <c r="C114" s="14" t="n"/>
      <c r="D114" s="14" t="n"/>
      <c r="E114" s="14" t="n"/>
      <c r="F114" s="14" t="n"/>
      <c r="G114" s="14" t="n"/>
      <c r="H114" s="19" t="n">
        <v>-0.06</v>
      </c>
      <c r="I114" s="19">
        <f>I113+G114+H114</f>
        <v/>
      </c>
      <c r="J114" s="14" t="n"/>
      <c r="K114" s="20">
        <f>IF(AND(B114="SELL",E114&gt;0,J114&lt;&gt;""),J114/E114,0)</f>
        <v/>
      </c>
      <c r="L114" s="14" t="n"/>
      <c r="M114" s="18">
        <f>IF(AND(B114="SELL",L114&gt;0),D114*L114,0)</f>
        <v/>
      </c>
      <c r="N114" s="14" t="n"/>
      <c r="O114" s="21">
        <f>IF(AND(B114="SELL",G114&lt;&gt;0),Q114/ABS(G114),0)</f>
        <v/>
      </c>
      <c r="P114" s="21">
        <f>IF(AND(B114="SELL",D114&gt;0),R114/D114,0)</f>
        <v/>
      </c>
      <c r="Q114" s="22">
        <f>IF(AND(B114="SELL",D114&gt;0,E114&gt;0),(D114/E114)+G114,0)</f>
        <v/>
      </c>
      <c r="R114" s="60">
        <f>IF(B114="SELL",Q114*F114,0)</f>
        <v/>
      </c>
      <c r="S114" s="60">
        <f>S113+R114</f>
        <v/>
      </c>
    </row>
    <row r="115" ht="15.75" customHeight="1" s="94">
      <c r="A115" s="25" t="n"/>
      <c r="B115" s="25">
        <f>IF(D115="","",IF(G115&lt;0,"SELL","BUY"))</f>
        <v/>
      </c>
      <c r="C115" s="25" t="n"/>
      <c r="D115" s="25" t="n"/>
      <c r="E115" s="25" t="n"/>
      <c r="F115" s="25" t="n"/>
      <c r="G115" s="25" t="n"/>
      <c r="H115" s="30" t="n">
        <v>-0.06</v>
      </c>
      <c r="I115" s="30">
        <f>I114+G115+H115</f>
        <v/>
      </c>
      <c r="J115" s="25" t="n"/>
      <c r="K115" s="31">
        <f>IF(AND(B115="SELL",E115&gt;0,J115&lt;&gt;""),J115/E115,0)</f>
        <v/>
      </c>
      <c r="L115" s="25" t="n"/>
      <c r="M115" s="29">
        <f>IF(AND(B115="SELL",L115&gt;0),D115*L115,0)</f>
        <v/>
      </c>
      <c r="N115" s="25" t="n"/>
      <c r="O115" s="32">
        <f>IF(AND(B115="SELL",G115&lt;&gt;0),Q115/ABS(G115),0)</f>
        <v/>
      </c>
      <c r="P115" s="32">
        <f>IF(AND(B115="SELL",D115&gt;0),R115/D115,0)</f>
        <v/>
      </c>
      <c r="Q115" s="33">
        <f>IF(AND(B115="SELL",D115&gt;0,E115&gt;0),(D115/E115)+G115,0)</f>
        <v/>
      </c>
      <c r="R115" s="61">
        <f>IF(B115="SELL",Q115*F115,0)</f>
        <v/>
      </c>
      <c r="S115" s="61">
        <f>S114+R115</f>
        <v/>
      </c>
    </row>
    <row r="116" ht="15.75" customHeight="1" s="94">
      <c r="A116" s="14" t="n"/>
      <c r="B116" s="14">
        <f>IF(D116="","",IF(G116&lt;0,"SELL","BUY"))</f>
        <v/>
      </c>
      <c r="C116" s="14" t="n"/>
      <c r="D116" s="14" t="n"/>
      <c r="E116" s="14" t="n"/>
      <c r="F116" s="14" t="n"/>
      <c r="G116" s="14" t="n"/>
      <c r="H116" s="19" t="n">
        <v>-0.06</v>
      </c>
      <c r="I116" s="19">
        <f>I115+G116+H116</f>
        <v/>
      </c>
      <c r="J116" s="14" t="n"/>
      <c r="K116" s="20">
        <f>IF(AND(B116="SELL",E116&gt;0,J116&lt;&gt;""),J116/E116,0)</f>
        <v/>
      </c>
      <c r="L116" s="14" t="n"/>
      <c r="M116" s="18">
        <f>IF(AND(B116="SELL",L116&gt;0),D116*L116,0)</f>
        <v/>
      </c>
      <c r="N116" s="14" t="n"/>
      <c r="O116" s="21">
        <f>IF(AND(B116="SELL",G116&lt;&gt;0),Q116/ABS(G116),0)</f>
        <v/>
      </c>
      <c r="P116" s="21">
        <f>IF(AND(B116="SELL",D116&gt;0),R116/D116,0)</f>
        <v/>
      </c>
      <c r="Q116" s="22">
        <f>IF(AND(B116="SELL",D116&gt;0,E116&gt;0),(D116/E116)+G116,0)</f>
        <v/>
      </c>
      <c r="R116" s="60">
        <f>IF(B116="SELL",Q116*F116,0)</f>
        <v/>
      </c>
      <c r="S116" s="60">
        <f>S115+R116</f>
        <v/>
      </c>
    </row>
    <row r="117" ht="15.75" customHeight="1" s="94">
      <c r="A117" s="25" t="n"/>
      <c r="B117" s="25">
        <f>IF(D117="","",IF(G117&lt;0,"SELL","BUY"))</f>
        <v/>
      </c>
      <c r="C117" s="25" t="n"/>
      <c r="D117" s="25" t="n"/>
      <c r="E117" s="25" t="n"/>
      <c r="F117" s="25" t="n"/>
      <c r="G117" s="25" t="n"/>
      <c r="H117" s="30" t="n">
        <v>-0.06</v>
      </c>
      <c r="I117" s="30">
        <f>I116+G117+H117</f>
        <v/>
      </c>
      <c r="J117" s="25" t="n"/>
      <c r="K117" s="31">
        <f>IF(AND(B117="SELL",E117&gt;0,J117&lt;&gt;""),J117/E117,0)</f>
        <v/>
      </c>
      <c r="L117" s="25" t="n"/>
      <c r="M117" s="29">
        <f>IF(AND(B117="SELL",L117&gt;0),D117*L117,0)</f>
        <v/>
      </c>
      <c r="N117" s="25" t="n"/>
      <c r="O117" s="32">
        <f>IF(AND(B117="SELL",G117&lt;&gt;0),Q117/ABS(G117),0)</f>
        <v/>
      </c>
      <c r="P117" s="32">
        <f>IF(AND(B117="SELL",D117&gt;0),R117/D117,0)</f>
        <v/>
      </c>
      <c r="Q117" s="33">
        <f>IF(AND(B117="SELL",D117&gt;0,E117&gt;0),(D117/E117)+G117,0)</f>
        <v/>
      </c>
      <c r="R117" s="61">
        <f>IF(B117="SELL",Q117*F117,0)</f>
        <v/>
      </c>
      <c r="S117" s="61">
        <f>S116+R117</f>
        <v/>
      </c>
    </row>
    <row r="118" ht="15.75" customHeight="1" s="94">
      <c r="A118" s="14" t="n"/>
      <c r="B118" s="14">
        <f>IF(D118="","",IF(G118&lt;0,"SELL","BUY"))</f>
        <v/>
      </c>
      <c r="C118" s="14" t="n"/>
      <c r="D118" s="14" t="n"/>
      <c r="E118" s="14" t="n"/>
      <c r="F118" s="14" t="n"/>
      <c r="G118" s="14" t="n"/>
      <c r="H118" s="19" t="n">
        <v>-0.06</v>
      </c>
      <c r="I118" s="19">
        <f>I117+G118+H118</f>
        <v/>
      </c>
      <c r="J118" s="14" t="n"/>
      <c r="K118" s="20">
        <f>IF(AND(B118="SELL",E118&gt;0,J118&lt;&gt;""),J118/E118,0)</f>
        <v/>
      </c>
      <c r="L118" s="14" t="n"/>
      <c r="M118" s="18">
        <f>IF(AND(B118="SELL",L118&gt;0),D118*L118,0)</f>
        <v/>
      </c>
      <c r="N118" s="14" t="n"/>
      <c r="O118" s="21">
        <f>IF(AND(B118="SELL",G118&lt;&gt;0),Q118/ABS(G118),0)</f>
        <v/>
      </c>
      <c r="P118" s="21">
        <f>IF(AND(B118="SELL",D118&gt;0),R118/D118,0)</f>
        <v/>
      </c>
      <c r="Q118" s="22">
        <f>IF(AND(B118="SELL",D118&gt;0,E118&gt;0),(D118/E118)+G118,0)</f>
        <v/>
      </c>
      <c r="R118" s="60">
        <f>IF(B118="SELL",Q118*F118,0)</f>
        <v/>
      </c>
      <c r="S118" s="60">
        <f>S117+R118</f>
        <v/>
      </c>
    </row>
    <row r="119" ht="15.75" customHeight="1" s="94">
      <c r="A119" s="25" t="n"/>
      <c r="B119" s="25">
        <f>IF(D119="","",IF(G119&lt;0,"SELL","BUY"))</f>
        <v/>
      </c>
      <c r="C119" s="25" t="n"/>
      <c r="D119" s="25" t="n"/>
      <c r="E119" s="25" t="n"/>
      <c r="F119" s="25" t="n"/>
      <c r="G119" s="25" t="n"/>
      <c r="H119" s="30" t="n">
        <v>-0.06</v>
      </c>
      <c r="I119" s="30">
        <f>I118+G119+H119</f>
        <v/>
      </c>
      <c r="J119" s="25" t="n"/>
      <c r="K119" s="31">
        <f>IF(AND(B119="SELL",E119&gt;0,J119&lt;&gt;""),J119/E119,0)</f>
        <v/>
      </c>
      <c r="L119" s="25" t="n"/>
      <c r="M119" s="29">
        <f>IF(AND(B119="SELL",L119&gt;0),D119*L119,0)</f>
        <v/>
      </c>
      <c r="N119" s="25" t="n"/>
      <c r="O119" s="32">
        <f>IF(AND(B119="SELL",G119&lt;&gt;0),Q119/ABS(G119),0)</f>
        <v/>
      </c>
      <c r="P119" s="32">
        <f>IF(AND(B119="SELL",D119&gt;0),R119/D119,0)</f>
        <v/>
      </c>
      <c r="Q119" s="33">
        <f>IF(AND(B119="SELL",D119&gt;0,E119&gt;0),(D119/E119)+G119,0)</f>
        <v/>
      </c>
      <c r="R119" s="61">
        <f>IF(B119="SELL",Q119*F119,0)</f>
        <v/>
      </c>
      <c r="S119" s="61">
        <f>S118+R119</f>
        <v/>
      </c>
    </row>
    <row r="120" ht="15.75" customHeight="1" s="94">
      <c r="A120" s="14" t="n"/>
      <c r="B120" s="14">
        <f>IF(D120="","",IF(G120&lt;0,"SELL","BUY"))</f>
        <v/>
      </c>
      <c r="C120" s="14" t="n"/>
      <c r="D120" s="14" t="n"/>
      <c r="E120" s="14" t="n"/>
      <c r="F120" s="14" t="n"/>
      <c r="G120" s="14" t="n"/>
      <c r="H120" s="19" t="n">
        <v>-0.06</v>
      </c>
      <c r="I120" s="19">
        <f>I119+G120+H120</f>
        <v/>
      </c>
      <c r="J120" s="14" t="n"/>
      <c r="K120" s="20">
        <f>IF(AND(B120="SELL",E120&gt;0,J120&lt;&gt;""),J120/E120,0)</f>
        <v/>
      </c>
      <c r="L120" s="14" t="n"/>
      <c r="M120" s="18">
        <f>IF(AND(B120="SELL",L120&gt;0),D120*L120,0)</f>
        <v/>
      </c>
      <c r="N120" s="14" t="n"/>
      <c r="O120" s="21">
        <f>IF(AND(B120="SELL",G120&lt;&gt;0),Q120/ABS(G120),0)</f>
        <v/>
      </c>
      <c r="P120" s="21">
        <f>IF(AND(B120="SELL",D120&gt;0),R120/D120,0)</f>
        <v/>
      </c>
      <c r="Q120" s="22">
        <f>IF(AND(B120="SELL",D120&gt;0,E120&gt;0),(D120/E120)+G120,0)</f>
        <v/>
      </c>
      <c r="R120" s="60">
        <f>IF(B120="SELL",Q120*F120,0)</f>
        <v/>
      </c>
      <c r="S120" s="60">
        <f>S119+R120</f>
        <v/>
      </c>
    </row>
    <row r="121" ht="15.75" customHeight="1" s="94">
      <c r="A121" s="25" t="n"/>
      <c r="B121" s="25">
        <f>IF(D121="","",IF(G121&lt;0,"SELL","BUY"))</f>
        <v/>
      </c>
      <c r="C121" s="25" t="n"/>
      <c r="D121" s="25" t="n"/>
      <c r="E121" s="25" t="n"/>
      <c r="F121" s="25" t="n"/>
      <c r="G121" s="25" t="n"/>
      <c r="H121" s="30" t="n">
        <v>-0.06</v>
      </c>
      <c r="I121" s="30">
        <f>I120+G121+H121</f>
        <v/>
      </c>
      <c r="J121" s="25" t="n"/>
      <c r="K121" s="31">
        <f>IF(AND(B121="SELL",E121&gt;0,J121&lt;&gt;""),J121/E121,0)</f>
        <v/>
      </c>
      <c r="L121" s="25" t="n"/>
      <c r="M121" s="29">
        <f>IF(AND(B121="SELL",L121&gt;0),D121*L121,0)</f>
        <v/>
      </c>
      <c r="N121" s="25" t="n"/>
      <c r="O121" s="32">
        <f>IF(AND(B121="SELL",G121&lt;&gt;0),Q121/ABS(G121),0)</f>
        <v/>
      </c>
      <c r="P121" s="32">
        <f>IF(AND(B121="SELL",D121&gt;0),R121/D121,0)</f>
        <v/>
      </c>
      <c r="Q121" s="33">
        <f>IF(AND(B121="SELL",D121&gt;0,E121&gt;0),(D121/E121)+G121,0)</f>
        <v/>
      </c>
      <c r="R121" s="61">
        <f>IF(B121="SELL",Q121*F121,0)</f>
        <v/>
      </c>
      <c r="S121" s="61">
        <f>S120+R121</f>
        <v/>
      </c>
    </row>
    <row r="122" ht="15.75" customHeight="1" s="94">
      <c r="A122" s="14" t="n"/>
      <c r="B122" s="14">
        <f>IF(D122="","",IF(G122&lt;0,"SELL","BUY"))</f>
        <v/>
      </c>
      <c r="C122" s="14" t="n"/>
      <c r="D122" s="14" t="n"/>
      <c r="E122" s="14" t="n"/>
      <c r="F122" s="14" t="n"/>
      <c r="G122" s="14" t="n"/>
      <c r="H122" s="19" t="n">
        <v>-0.06</v>
      </c>
      <c r="I122" s="19">
        <f>I121+G122+H122</f>
        <v/>
      </c>
      <c r="J122" s="14" t="n"/>
      <c r="K122" s="20">
        <f>IF(AND(B122="SELL",E122&gt;0,J122&lt;&gt;""),J122/E122,0)</f>
        <v/>
      </c>
      <c r="L122" s="14" t="n"/>
      <c r="M122" s="18">
        <f>IF(AND(B122="SELL",L122&gt;0),D122*L122,0)</f>
        <v/>
      </c>
      <c r="N122" s="14" t="n"/>
      <c r="O122" s="21">
        <f>IF(AND(B122="SELL",G122&lt;&gt;0),Q122/ABS(G122),0)</f>
        <v/>
      </c>
      <c r="P122" s="21">
        <f>IF(AND(B122="SELL",D122&gt;0),R122/D122,0)</f>
        <v/>
      </c>
      <c r="Q122" s="22">
        <f>IF(AND(B122="SELL",D122&gt;0,E122&gt;0),(D122/E122)+G122,0)</f>
        <v/>
      </c>
      <c r="R122" s="60">
        <f>IF(B122="SELL",Q122*F122,0)</f>
        <v/>
      </c>
      <c r="S122" s="60">
        <f>S121+R122</f>
        <v/>
      </c>
    </row>
    <row r="123" ht="15.75" customHeight="1" s="94">
      <c r="A123" s="25" t="n"/>
      <c r="B123" s="25">
        <f>IF(D123="","",IF(G123&lt;0,"SELL","BUY"))</f>
        <v/>
      </c>
      <c r="C123" s="25" t="n"/>
      <c r="D123" s="25" t="n"/>
      <c r="E123" s="25" t="n"/>
      <c r="F123" s="25" t="n"/>
      <c r="G123" s="25" t="n"/>
      <c r="H123" s="30" t="n">
        <v>-0.06</v>
      </c>
      <c r="I123" s="30">
        <f>I122+G123+H123</f>
        <v/>
      </c>
      <c r="J123" s="25" t="n"/>
      <c r="K123" s="31">
        <f>IF(AND(B123="SELL",E123&gt;0,J123&lt;&gt;""),J123/E123,0)</f>
        <v/>
      </c>
      <c r="L123" s="25" t="n"/>
      <c r="M123" s="29">
        <f>IF(AND(B123="SELL",L123&gt;0),D123*L123,0)</f>
        <v/>
      </c>
      <c r="N123" s="25" t="n"/>
      <c r="O123" s="32">
        <f>IF(AND(B123="SELL",G123&lt;&gt;0),Q123/ABS(G123),0)</f>
        <v/>
      </c>
      <c r="P123" s="32">
        <f>IF(AND(B123="SELL",D123&gt;0),R123/D123,0)</f>
        <v/>
      </c>
      <c r="Q123" s="33">
        <f>IF(AND(B123="SELL",D123&gt;0,E123&gt;0),(D123/E123)+G123,0)</f>
        <v/>
      </c>
      <c r="R123" s="61">
        <f>IF(B123="SELL",Q123*F123,0)</f>
        <v/>
      </c>
      <c r="S123" s="61">
        <f>S122+R123</f>
        <v/>
      </c>
    </row>
    <row r="124" ht="15.75" customHeight="1" s="94">
      <c r="A124" s="14" t="n"/>
      <c r="B124" s="14">
        <f>IF(D124="","",IF(G124&lt;0,"SELL","BUY"))</f>
        <v/>
      </c>
      <c r="C124" s="14" t="n"/>
      <c r="D124" s="14" t="n"/>
      <c r="E124" s="14" t="n"/>
      <c r="F124" s="14" t="n"/>
      <c r="G124" s="14" t="n"/>
      <c r="H124" s="19" t="n">
        <v>-0.06</v>
      </c>
      <c r="I124" s="19">
        <f>I123+G124+H124</f>
        <v/>
      </c>
      <c r="J124" s="14" t="n"/>
      <c r="K124" s="20">
        <f>IF(AND(B124="SELL",E124&gt;0,J124&lt;&gt;""),J124/E124,0)</f>
        <v/>
      </c>
      <c r="L124" s="14" t="n"/>
      <c r="M124" s="18">
        <f>IF(AND(B124="SELL",L124&gt;0),D124*L124,0)</f>
        <v/>
      </c>
      <c r="N124" s="14" t="n"/>
      <c r="O124" s="21">
        <f>IF(AND(B124="SELL",G124&lt;&gt;0),Q124/ABS(G124),0)</f>
        <v/>
      </c>
      <c r="P124" s="21">
        <f>IF(AND(B124="SELL",D124&gt;0),R124/D124,0)</f>
        <v/>
      </c>
      <c r="Q124" s="22">
        <f>IF(AND(B124="SELL",D124&gt;0,E124&gt;0),(D124/E124)+G124,0)</f>
        <v/>
      </c>
      <c r="R124" s="60">
        <f>IF(B124="SELL",Q124*F124,0)</f>
        <v/>
      </c>
      <c r="S124" s="60">
        <f>S123+R124</f>
        <v/>
      </c>
    </row>
    <row r="125" ht="15.75" customHeight="1" s="94">
      <c r="A125" s="25" t="n"/>
      <c r="B125" s="25">
        <f>IF(D125="","",IF(G125&lt;0,"SELL","BUY"))</f>
        <v/>
      </c>
      <c r="C125" s="25" t="n"/>
      <c r="D125" s="25" t="n"/>
      <c r="E125" s="25" t="n"/>
      <c r="F125" s="25" t="n"/>
      <c r="G125" s="25" t="n"/>
      <c r="H125" s="30" t="n">
        <v>-0.06</v>
      </c>
      <c r="I125" s="30">
        <f>I124+G125+H125</f>
        <v/>
      </c>
      <c r="J125" s="25" t="n"/>
      <c r="K125" s="31">
        <f>IF(AND(B125="SELL",E125&gt;0,J125&lt;&gt;""),J125/E125,0)</f>
        <v/>
      </c>
      <c r="L125" s="25" t="n"/>
      <c r="M125" s="29">
        <f>IF(AND(B125="SELL",L125&gt;0),D125*L125,0)</f>
        <v/>
      </c>
      <c r="N125" s="25" t="n"/>
      <c r="O125" s="32">
        <f>IF(AND(B125="SELL",G125&lt;&gt;0),Q125/ABS(G125),0)</f>
        <v/>
      </c>
      <c r="P125" s="32">
        <f>IF(AND(B125="SELL",D125&gt;0),R125/D125,0)</f>
        <v/>
      </c>
      <c r="Q125" s="33">
        <f>IF(AND(B125="SELL",D125&gt;0,E125&gt;0),(D125/E125)+G125,0)</f>
        <v/>
      </c>
      <c r="R125" s="61">
        <f>IF(B125="SELL",Q125*F125,0)</f>
        <v/>
      </c>
      <c r="S125" s="61">
        <f>S124+R125</f>
        <v/>
      </c>
    </row>
    <row r="126" ht="15.75" customHeight="1" s="94">
      <c r="A126" s="14" t="n"/>
      <c r="B126" s="14">
        <f>IF(D126="","",IF(G126&lt;0,"SELL","BUY"))</f>
        <v/>
      </c>
      <c r="C126" s="14" t="n"/>
      <c r="D126" s="14" t="n"/>
      <c r="E126" s="14" t="n"/>
      <c r="F126" s="14" t="n"/>
      <c r="G126" s="14" t="n"/>
      <c r="H126" s="19" t="n">
        <v>-0.06</v>
      </c>
      <c r="I126" s="19">
        <f>I125+G126+H126</f>
        <v/>
      </c>
      <c r="J126" s="14" t="n"/>
      <c r="K126" s="20">
        <f>IF(AND(B126="SELL",E126&gt;0,J126&lt;&gt;""),J126/E126,0)</f>
        <v/>
      </c>
      <c r="L126" s="14" t="n"/>
      <c r="M126" s="18">
        <f>IF(AND(B126="SELL",L126&gt;0),D126*L126,0)</f>
        <v/>
      </c>
      <c r="N126" s="14" t="n"/>
      <c r="O126" s="21">
        <f>IF(AND(B126="SELL",G126&lt;&gt;0),Q126/ABS(G126),0)</f>
        <v/>
      </c>
      <c r="P126" s="21">
        <f>IF(AND(B126="SELL",D126&gt;0),R126/D126,0)</f>
        <v/>
      </c>
      <c r="Q126" s="22">
        <f>IF(AND(B126="SELL",D126&gt;0,E126&gt;0),(D126/E126)+G126,0)</f>
        <v/>
      </c>
      <c r="R126" s="60">
        <f>IF(B126="SELL",Q126*F126,0)</f>
        <v/>
      </c>
      <c r="S126" s="60">
        <f>S125+R126</f>
        <v/>
      </c>
    </row>
    <row r="127" ht="15.75" customHeight="1" s="94">
      <c r="A127" s="25" t="n"/>
      <c r="B127" s="25">
        <f>IF(D127="","",IF(G127&lt;0,"SELL","BUY"))</f>
        <v/>
      </c>
      <c r="C127" s="25" t="n"/>
      <c r="D127" s="25" t="n"/>
      <c r="E127" s="25" t="n"/>
      <c r="F127" s="25" t="n"/>
      <c r="G127" s="25" t="n"/>
      <c r="H127" s="30" t="n">
        <v>-0.06</v>
      </c>
      <c r="I127" s="30">
        <f>I126+G127+H127</f>
        <v/>
      </c>
      <c r="J127" s="25" t="n"/>
      <c r="K127" s="31">
        <f>IF(AND(B127="SELL",E127&gt;0,J127&lt;&gt;""),J127/E127,0)</f>
        <v/>
      </c>
      <c r="L127" s="25" t="n"/>
      <c r="M127" s="29">
        <f>IF(AND(B127="SELL",L127&gt;0),D127*L127,0)</f>
        <v/>
      </c>
      <c r="N127" s="25" t="n"/>
      <c r="O127" s="32">
        <f>IF(AND(B127="SELL",G127&lt;&gt;0),Q127/ABS(G127),0)</f>
        <v/>
      </c>
      <c r="P127" s="32">
        <f>IF(AND(B127="SELL",D127&gt;0),R127/D127,0)</f>
        <v/>
      </c>
      <c r="Q127" s="33">
        <f>IF(AND(B127="SELL",D127&gt;0,E127&gt;0),(D127/E127)+G127,0)</f>
        <v/>
      </c>
      <c r="R127" s="61">
        <f>IF(B127="SELL",Q127*F127,0)</f>
        <v/>
      </c>
      <c r="S127" s="61">
        <f>S126+R127</f>
        <v/>
      </c>
    </row>
    <row r="128" ht="15.75" customHeight="1" s="94">
      <c r="A128" s="14" t="n"/>
      <c r="B128" s="14">
        <f>IF(D128="","",IF(G128&lt;0,"SELL","BUY"))</f>
        <v/>
      </c>
      <c r="C128" s="14" t="n"/>
      <c r="D128" s="14" t="n"/>
      <c r="E128" s="14" t="n"/>
      <c r="F128" s="14" t="n"/>
      <c r="G128" s="14" t="n"/>
      <c r="H128" s="19" t="n">
        <v>-0.06</v>
      </c>
      <c r="I128" s="19">
        <f>I127+G128+H128</f>
        <v/>
      </c>
      <c r="J128" s="14" t="n"/>
      <c r="K128" s="20">
        <f>IF(AND(B128="SELL",E128&gt;0,J128&lt;&gt;""),J128/E128,0)</f>
        <v/>
      </c>
      <c r="L128" s="14" t="n"/>
      <c r="M128" s="18">
        <f>IF(AND(B128="SELL",L128&gt;0),D128*L128,0)</f>
        <v/>
      </c>
      <c r="N128" s="14" t="n"/>
      <c r="O128" s="21">
        <f>IF(AND(B128="SELL",G128&lt;&gt;0),Q128/ABS(G128),0)</f>
        <v/>
      </c>
      <c r="P128" s="21">
        <f>IF(AND(B128="SELL",D128&gt;0),R128/D128,0)</f>
        <v/>
      </c>
      <c r="Q128" s="22">
        <f>IF(AND(B128="SELL",D128&gt;0,E128&gt;0),(D128/E128)+G128,0)</f>
        <v/>
      </c>
      <c r="R128" s="60">
        <f>IF(B128="SELL",Q128*F128,0)</f>
        <v/>
      </c>
      <c r="S128" s="60">
        <f>S127+R128</f>
        <v/>
      </c>
    </row>
    <row r="129" ht="15.75" customHeight="1" s="94">
      <c r="A129" s="25" t="n"/>
      <c r="B129" s="25">
        <f>IF(D129="","",IF(G129&lt;0,"SELL","BUY"))</f>
        <v/>
      </c>
      <c r="C129" s="25" t="n"/>
      <c r="D129" s="25" t="n"/>
      <c r="E129" s="25" t="n"/>
      <c r="F129" s="25" t="n"/>
      <c r="G129" s="25" t="n"/>
      <c r="H129" s="30" t="n">
        <v>-0.06</v>
      </c>
      <c r="I129" s="30">
        <f>I128+G129+H129</f>
        <v/>
      </c>
      <c r="J129" s="25" t="n"/>
      <c r="K129" s="31">
        <f>IF(AND(B129="SELL",E129&gt;0,J129&lt;&gt;""),J129/E129,0)</f>
        <v/>
      </c>
      <c r="L129" s="25" t="n"/>
      <c r="M129" s="29">
        <f>IF(AND(B129="SELL",L129&gt;0),D129*L129,0)</f>
        <v/>
      </c>
      <c r="N129" s="25" t="n"/>
      <c r="O129" s="32">
        <f>IF(AND(B129="SELL",G129&lt;&gt;0),Q129/ABS(G129),0)</f>
        <v/>
      </c>
      <c r="P129" s="32">
        <f>IF(AND(B129="SELL",D129&gt;0),R129/D129,0)</f>
        <v/>
      </c>
      <c r="Q129" s="33">
        <f>IF(AND(B129="SELL",D129&gt;0,E129&gt;0),(D129/E129)+G129,0)</f>
        <v/>
      </c>
      <c r="R129" s="61">
        <f>IF(B129="SELL",Q129*F129,0)</f>
        <v/>
      </c>
      <c r="S129" s="61">
        <f>S128+R129</f>
        <v/>
      </c>
    </row>
    <row r="130" ht="15.75" customHeight="1" s="94">
      <c r="A130" s="14" t="n"/>
      <c r="B130" s="14">
        <f>IF(D130="","",IF(G130&lt;0,"SELL","BUY"))</f>
        <v/>
      </c>
      <c r="C130" s="14" t="n"/>
      <c r="D130" s="14" t="n"/>
      <c r="E130" s="14" t="n"/>
      <c r="F130" s="14" t="n"/>
      <c r="G130" s="14" t="n"/>
      <c r="H130" s="19" t="n">
        <v>-0.06</v>
      </c>
      <c r="I130" s="19">
        <f>I129+G130+H130</f>
        <v/>
      </c>
      <c r="J130" s="14" t="n"/>
      <c r="K130" s="20">
        <f>IF(AND(B130="SELL",E130&gt;0,J130&lt;&gt;""),J130/E130,0)</f>
        <v/>
      </c>
      <c r="L130" s="14" t="n"/>
      <c r="M130" s="18">
        <f>IF(AND(B130="SELL",L130&gt;0),D130*L130,0)</f>
        <v/>
      </c>
      <c r="N130" s="14" t="n"/>
      <c r="O130" s="21">
        <f>IF(AND(B130="SELL",G130&lt;&gt;0),Q130/ABS(G130),0)</f>
        <v/>
      </c>
      <c r="P130" s="21">
        <f>IF(AND(B130="SELL",D130&gt;0),R130/D130,0)</f>
        <v/>
      </c>
      <c r="Q130" s="22">
        <f>IF(AND(B130="SELL",D130&gt;0,E130&gt;0),(D130/E130)+G130,0)</f>
        <v/>
      </c>
      <c r="R130" s="60">
        <f>IF(B130="SELL",Q130*F130,0)</f>
        <v/>
      </c>
      <c r="S130" s="60">
        <f>S129+R130</f>
        <v/>
      </c>
    </row>
    <row r="131" ht="15.75" customHeight="1" s="94">
      <c r="A131" s="25" t="n"/>
      <c r="B131" s="25">
        <f>IF(D131="","",IF(G131&lt;0,"SELL","BUY"))</f>
        <v/>
      </c>
      <c r="C131" s="25" t="n"/>
      <c r="D131" s="25" t="n"/>
      <c r="E131" s="25" t="n"/>
      <c r="F131" s="25" t="n"/>
      <c r="G131" s="25" t="n"/>
      <c r="H131" s="30" t="n">
        <v>-0.06</v>
      </c>
      <c r="I131" s="30">
        <f>I130+G131+H131</f>
        <v/>
      </c>
      <c r="J131" s="25" t="n"/>
      <c r="K131" s="31">
        <f>IF(AND(B131="SELL",E131&gt;0,J131&lt;&gt;""),J131/E131,0)</f>
        <v/>
      </c>
      <c r="L131" s="25" t="n"/>
      <c r="M131" s="29">
        <f>IF(AND(B131="SELL",L131&gt;0),D131*L131,0)</f>
        <v/>
      </c>
      <c r="N131" s="25" t="n"/>
      <c r="O131" s="32">
        <f>IF(AND(B131="SELL",G131&lt;&gt;0),Q131/ABS(G131),0)</f>
        <v/>
      </c>
      <c r="P131" s="32">
        <f>IF(AND(B131="SELL",D131&gt;0),R131/D131,0)</f>
        <v/>
      </c>
      <c r="Q131" s="33">
        <f>IF(AND(B131="SELL",D131&gt;0,E131&gt;0),(D131/E131)+G131,0)</f>
        <v/>
      </c>
      <c r="R131" s="61">
        <f>IF(B131="SELL",Q131*F131,0)</f>
        <v/>
      </c>
      <c r="S131" s="61">
        <f>S130+R131</f>
        <v/>
      </c>
    </row>
    <row r="132" ht="15.75" customHeight="1" s="94">
      <c r="A132" s="14" t="n"/>
      <c r="B132" s="14">
        <f>IF(D132="","",IF(G132&lt;0,"SELL","BUY"))</f>
        <v/>
      </c>
      <c r="C132" s="14" t="n"/>
      <c r="D132" s="14" t="n"/>
      <c r="E132" s="14" t="n"/>
      <c r="F132" s="14" t="n"/>
      <c r="G132" s="14" t="n"/>
      <c r="H132" s="19" t="n">
        <v>-0.06</v>
      </c>
      <c r="I132" s="19">
        <f>I131+G132+H132</f>
        <v/>
      </c>
      <c r="J132" s="14" t="n"/>
      <c r="K132" s="20">
        <f>IF(AND(B132="SELL",E132&gt;0,J132&lt;&gt;""),J132/E132,0)</f>
        <v/>
      </c>
      <c r="L132" s="14" t="n"/>
      <c r="M132" s="18">
        <f>IF(AND(B132="SELL",L132&gt;0),D132*L132,0)</f>
        <v/>
      </c>
      <c r="N132" s="14" t="n"/>
      <c r="O132" s="21">
        <f>IF(AND(B132="SELL",G132&lt;&gt;0),Q132/ABS(G132),0)</f>
        <v/>
      </c>
      <c r="P132" s="21">
        <f>IF(AND(B132="SELL",D132&gt;0),R132/D132,0)</f>
        <v/>
      </c>
      <c r="Q132" s="22">
        <f>IF(AND(B132="SELL",D132&gt;0,E132&gt;0),(D132/E132)+G132,0)</f>
        <v/>
      </c>
      <c r="R132" s="60">
        <f>IF(B132="SELL",Q132*F132,0)</f>
        <v/>
      </c>
      <c r="S132" s="60">
        <f>S131+R132</f>
        <v/>
      </c>
    </row>
    <row r="133" ht="15.75" customHeight="1" s="94">
      <c r="A133" s="25" t="n"/>
      <c r="B133" s="25">
        <f>IF(D133="","",IF(G133&lt;0,"SELL","BUY"))</f>
        <v/>
      </c>
      <c r="C133" s="25" t="n"/>
      <c r="D133" s="25" t="n"/>
      <c r="E133" s="25" t="n"/>
      <c r="F133" s="25" t="n"/>
      <c r="G133" s="25" t="n"/>
      <c r="H133" s="30" t="n">
        <v>-0.06</v>
      </c>
      <c r="I133" s="30">
        <f>I132+G133+H133</f>
        <v/>
      </c>
      <c r="J133" s="25" t="n"/>
      <c r="K133" s="31">
        <f>IF(AND(B133="SELL",E133&gt;0,J133&lt;&gt;""),J133/E133,0)</f>
        <v/>
      </c>
      <c r="L133" s="25" t="n"/>
      <c r="M133" s="29">
        <f>IF(AND(B133="SELL",L133&gt;0),D133*L133,0)</f>
        <v/>
      </c>
      <c r="N133" s="25" t="n"/>
      <c r="O133" s="32">
        <f>IF(AND(B133="SELL",G133&lt;&gt;0),Q133/ABS(G133),0)</f>
        <v/>
      </c>
      <c r="P133" s="32">
        <f>IF(AND(B133="SELL",D133&gt;0),R133/D133,0)</f>
        <v/>
      </c>
      <c r="Q133" s="33">
        <f>IF(AND(B133="SELL",D133&gt;0,E133&gt;0),(D133/E133)+G133,0)</f>
        <v/>
      </c>
      <c r="R133" s="61">
        <f>IF(B133="SELL",Q133*F133,0)</f>
        <v/>
      </c>
      <c r="S133" s="61">
        <f>S132+R133</f>
        <v/>
      </c>
    </row>
    <row r="134" ht="15.75" customHeight="1" s="94">
      <c r="A134" s="14" t="n"/>
      <c r="B134" s="14">
        <f>IF(D134="","",IF(G134&lt;0,"SELL","BUY"))</f>
        <v/>
      </c>
      <c r="C134" s="14" t="n"/>
      <c r="D134" s="14" t="n"/>
      <c r="E134" s="14" t="n"/>
      <c r="F134" s="14" t="n"/>
      <c r="G134" s="14" t="n"/>
      <c r="H134" s="19" t="n">
        <v>-0.06</v>
      </c>
      <c r="I134" s="19">
        <f>I133+G134+H134</f>
        <v/>
      </c>
      <c r="J134" s="14" t="n"/>
      <c r="K134" s="20">
        <f>IF(AND(B134="SELL",E134&gt;0,J134&lt;&gt;""),J134/E134,0)</f>
        <v/>
      </c>
      <c r="L134" s="14" t="n"/>
      <c r="M134" s="18">
        <f>IF(AND(B134="SELL",L134&gt;0),D134*L134,0)</f>
        <v/>
      </c>
      <c r="N134" s="14" t="n"/>
      <c r="O134" s="21">
        <f>IF(AND(B134="SELL",G134&lt;&gt;0),Q134/ABS(G134),0)</f>
        <v/>
      </c>
      <c r="P134" s="21">
        <f>IF(AND(B134="SELL",D134&gt;0),R134/D134,0)</f>
        <v/>
      </c>
      <c r="Q134" s="22">
        <f>IF(AND(B134="SELL",D134&gt;0,E134&gt;0),(D134/E134)+G134,0)</f>
        <v/>
      </c>
      <c r="R134" s="60">
        <f>IF(B134="SELL",Q134*F134,0)</f>
        <v/>
      </c>
      <c r="S134" s="60">
        <f>S133+R134</f>
        <v/>
      </c>
    </row>
    <row r="135" ht="15.75" customHeight="1" s="94">
      <c r="A135" s="25" t="n"/>
      <c r="B135" s="25">
        <f>IF(D135="","",IF(G135&lt;0,"SELL","BUY"))</f>
        <v/>
      </c>
      <c r="C135" s="25" t="n"/>
      <c r="D135" s="25" t="n"/>
      <c r="E135" s="25" t="n"/>
      <c r="F135" s="25" t="n"/>
      <c r="G135" s="25" t="n"/>
      <c r="H135" s="30" t="n">
        <v>-0.06</v>
      </c>
      <c r="I135" s="30">
        <f>I134+G135+H135</f>
        <v/>
      </c>
      <c r="J135" s="25" t="n"/>
      <c r="K135" s="31">
        <f>IF(AND(B135="SELL",E135&gt;0,J135&lt;&gt;""),J135/E135,0)</f>
        <v/>
      </c>
      <c r="L135" s="25" t="n"/>
      <c r="M135" s="29">
        <f>IF(AND(B135="SELL",L135&gt;0),D135*L135,0)</f>
        <v/>
      </c>
      <c r="N135" s="25" t="n"/>
      <c r="O135" s="32">
        <f>IF(AND(B135="SELL",G135&lt;&gt;0),Q135/ABS(G135),0)</f>
        <v/>
      </c>
      <c r="P135" s="32">
        <f>IF(AND(B135="SELL",D135&gt;0),R135/D135,0)</f>
        <v/>
      </c>
      <c r="Q135" s="33">
        <f>IF(AND(B135="SELL",D135&gt;0,E135&gt;0),(D135/E135)+G135,0)</f>
        <v/>
      </c>
      <c r="R135" s="61">
        <f>IF(B135="SELL",Q135*F135,0)</f>
        <v/>
      </c>
      <c r="S135" s="61">
        <f>S134+R135</f>
        <v/>
      </c>
    </row>
    <row r="136" ht="15.75" customHeight="1" s="94">
      <c r="A136" s="14" t="n"/>
      <c r="B136" s="14">
        <f>IF(D136="","",IF(G136&lt;0,"SELL","BUY"))</f>
        <v/>
      </c>
      <c r="C136" s="14" t="n"/>
      <c r="D136" s="14" t="n"/>
      <c r="E136" s="14" t="n"/>
      <c r="F136" s="14" t="n"/>
      <c r="G136" s="14" t="n"/>
      <c r="H136" s="19" t="n">
        <v>-0.06</v>
      </c>
      <c r="I136" s="19">
        <f>I135+G136+H136</f>
        <v/>
      </c>
      <c r="J136" s="14" t="n"/>
      <c r="K136" s="20">
        <f>IF(AND(B136="SELL",E136&gt;0,J136&lt;&gt;""),J136/E136,0)</f>
        <v/>
      </c>
      <c r="L136" s="14" t="n"/>
      <c r="M136" s="18">
        <f>IF(AND(B136="SELL",L136&gt;0),D136*L136,0)</f>
        <v/>
      </c>
      <c r="N136" s="14" t="n"/>
      <c r="O136" s="21">
        <f>IF(AND(B136="SELL",G136&lt;&gt;0),Q136/ABS(G136),0)</f>
        <v/>
      </c>
      <c r="P136" s="21">
        <f>IF(AND(B136="SELL",D136&gt;0),R136/D136,0)</f>
        <v/>
      </c>
      <c r="Q136" s="22">
        <f>IF(AND(B136="SELL",D136&gt;0,E136&gt;0),(D136/E136)+G136,0)</f>
        <v/>
      </c>
      <c r="R136" s="60">
        <f>IF(B136="SELL",Q136*F136,0)</f>
        <v/>
      </c>
      <c r="S136" s="60">
        <f>S135+R136</f>
        <v/>
      </c>
    </row>
    <row r="137" ht="15.75" customHeight="1" s="94">
      <c r="A137" s="25" t="n"/>
      <c r="B137" s="25">
        <f>IF(D137="","",IF(G137&lt;0,"SELL","BUY"))</f>
        <v/>
      </c>
      <c r="C137" s="25" t="n"/>
      <c r="D137" s="25" t="n"/>
      <c r="E137" s="25" t="n"/>
      <c r="F137" s="25" t="n"/>
      <c r="G137" s="25" t="n"/>
      <c r="H137" s="30" t="n">
        <v>-0.06</v>
      </c>
      <c r="I137" s="30">
        <f>I136+G137+H137</f>
        <v/>
      </c>
      <c r="J137" s="25" t="n"/>
      <c r="K137" s="31">
        <f>IF(AND(B137="SELL",E137&gt;0,J137&lt;&gt;""),J137/E137,0)</f>
        <v/>
      </c>
      <c r="L137" s="25" t="n"/>
      <c r="M137" s="29">
        <f>IF(AND(B137="SELL",L137&gt;0),D137*L137,0)</f>
        <v/>
      </c>
      <c r="N137" s="25" t="n"/>
      <c r="O137" s="32">
        <f>IF(AND(B137="SELL",G137&lt;&gt;0),Q137/ABS(G137),0)</f>
        <v/>
      </c>
      <c r="P137" s="32">
        <f>IF(AND(B137="SELL",D137&gt;0),R137/D137,0)</f>
        <v/>
      </c>
      <c r="Q137" s="33">
        <f>IF(AND(B137="SELL",D137&gt;0,E137&gt;0),(D137/E137)+G137,0)</f>
        <v/>
      </c>
      <c r="R137" s="61">
        <f>IF(B137="SELL",Q137*F137,0)</f>
        <v/>
      </c>
      <c r="S137" s="61">
        <f>S136+R137</f>
        <v/>
      </c>
    </row>
    <row r="138" ht="15.75" customHeight="1" s="94">
      <c r="A138" s="14" t="n"/>
      <c r="B138" s="14">
        <f>IF(D138="","",IF(G138&lt;0,"SELL","BUY"))</f>
        <v/>
      </c>
      <c r="C138" s="14" t="n"/>
      <c r="D138" s="14" t="n"/>
      <c r="E138" s="14" t="n"/>
      <c r="F138" s="14" t="n"/>
      <c r="G138" s="14" t="n"/>
      <c r="H138" s="19" t="n">
        <v>-0.06</v>
      </c>
      <c r="I138" s="19">
        <f>I137+G138+H138</f>
        <v/>
      </c>
      <c r="J138" s="14" t="n"/>
      <c r="K138" s="20">
        <f>IF(AND(B138="SELL",E138&gt;0,J138&lt;&gt;""),J138/E138,0)</f>
        <v/>
      </c>
      <c r="L138" s="14" t="n"/>
      <c r="M138" s="18">
        <f>IF(AND(B138="SELL",L138&gt;0),D138*L138,0)</f>
        <v/>
      </c>
      <c r="N138" s="14" t="n"/>
      <c r="O138" s="21">
        <f>IF(AND(B138="SELL",G138&lt;&gt;0),Q138/ABS(G138),0)</f>
        <v/>
      </c>
      <c r="P138" s="21">
        <f>IF(AND(B138="SELL",D138&gt;0),R138/D138,0)</f>
        <v/>
      </c>
      <c r="Q138" s="22">
        <f>IF(AND(B138="SELL",D138&gt;0,E138&gt;0),(D138/E138)+G138,0)</f>
        <v/>
      </c>
      <c r="R138" s="60">
        <f>IF(B138="SELL",Q138*F138,0)</f>
        <v/>
      </c>
      <c r="S138" s="60">
        <f>S137+R138</f>
        <v/>
      </c>
    </row>
    <row r="139" ht="15.75" customHeight="1" s="94">
      <c r="A139" s="25" t="n"/>
      <c r="B139" s="25">
        <f>IF(D139="","",IF(G139&lt;0,"SELL","BUY"))</f>
        <v/>
      </c>
      <c r="C139" s="25" t="n"/>
      <c r="D139" s="25" t="n"/>
      <c r="E139" s="25" t="n"/>
      <c r="F139" s="25" t="n"/>
      <c r="G139" s="25" t="n"/>
      <c r="H139" s="30" t="n">
        <v>-0.06</v>
      </c>
      <c r="I139" s="30">
        <f>I138+G139+H139</f>
        <v/>
      </c>
      <c r="J139" s="25" t="n"/>
      <c r="K139" s="31">
        <f>IF(AND(B139="SELL",E139&gt;0,J139&lt;&gt;""),J139/E139,0)</f>
        <v/>
      </c>
      <c r="L139" s="25" t="n"/>
      <c r="M139" s="29">
        <f>IF(AND(B139="SELL",L139&gt;0),D139*L139,0)</f>
        <v/>
      </c>
      <c r="N139" s="25" t="n"/>
      <c r="O139" s="32">
        <f>IF(AND(B139="SELL",G139&lt;&gt;0),Q139/ABS(G139),0)</f>
        <v/>
      </c>
      <c r="P139" s="32">
        <f>IF(AND(B139="SELL",D139&gt;0),R139/D139,0)</f>
        <v/>
      </c>
      <c r="Q139" s="33">
        <f>IF(AND(B139="SELL",D139&gt;0,E139&gt;0),(D139/E139)+G139,0)</f>
        <v/>
      </c>
      <c r="R139" s="61">
        <f>IF(B139="SELL",Q139*F139,0)</f>
        <v/>
      </c>
      <c r="S139" s="61">
        <f>S138+R139</f>
        <v/>
      </c>
    </row>
    <row r="140" ht="15.75" customHeight="1" s="94">
      <c r="A140" s="14" t="n"/>
      <c r="B140" s="14">
        <f>IF(D140="","",IF(G140&lt;0,"SELL","BUY"))</f>
        <v/>
      </c>
      <c r="C140" s="14" t="n"/>
      <c r="D140" s="14" t="n"/>
      <c r="E140" s="14" t="n"/>
      <c r="F140" s="14" t="n"/>
      <c r="G140" s="14" t="n"/>
      <c r="H140" s="19" t="n">
        <v>-0.06</v>
      </c>
      <c r="I140" s="19">
        <f>I139+G140+H140</f>
        <v/>
      </c>
      <c r="J140" s="14" t="n"/>
      <c r="K140" s="20">
        <f>IF(AND(B140="SELL",E140&gt;0,J140&lt;&gt;""),J140/E140,0)</f>
        <v/>
      </c>
      <c r="L140" s="14" t="n"/>
      <c r="M140" s="18">
        <f>IF(AND(B140="SELL",L140&gt;0),D140*L140,0)</f>
        <v/>
      </c>
      <c r="N140" s="14" t="n"/>
      <c r="O140" s="21">
        <f>IF(AND(B140="SELL",G140&lt;&gt;0),Q140/ABS(G140),0)</f>
        <v/>
      </c>
      <c r="P140" s="21">
        <f>IF(AND(B140="SELL",D140&gt;0),R140/D140,0)</f>
        <v/>
      </c>
      <c r="Q140" s="22">
        <f>IF(AND(B140="SELL",D140&gt;0,E140&gt;0),(D140/E140)+G140,0)</f>
        <v/>
      </c>
      <c r="R140" s="60">
        <f>IF(B140="SELL",Q140*F140,0)</f>
        <v/>
      </c>
      <c r="S140" s="60">
        <f>S139+R140</f>
        <v/>
      </c>
    </row>
    <row r="141" ht="15.75" customHeight="1" s="94">
      <c r="A141" s="25" t="n"/>
      <c r="B141" s="25">
        <f>IF(D141="","",IF(G141&lt;0,"SELL","BUY"))</f>
        <v/>
      </c>
      <c r="C141" s="25" t="n"/>
      <c r="D141" s="25" t="n"/>
      <c r="E141" s="25" t="n"/>
      <c r="F141" s="25" t="n"/>
      <c r="G141" s="25" t="n"/>
      <c r="H141" s="30" t="n">
        <v>-0.06</v>
      </c>
      <c r="I141" s="30">
        <f>I140+G141+H141</f>
        <v/>
      </c>
      <c r="J141" s="25" t="n"/>
      <c r="K141" s="31">
        <f>IF(AND(B141="SELL",E141&gt;0,J141&lt;&gt;""),J141/E141,0)</f>
        <v/>
      </c>
      <c r="L141" s="25" t="n"/>
      <c r="M141" s="29">
        <f>IF(AND(B141="SELL",L141&gt;0),D141*L141,0)</f>
        <v/>
      </c>
      <c r="N141" s="25" t="n"/>
      <c r="O141" s="32">
        <f>IF(AND(B141="SELL",G141&lt;&gt;0),Q141/ABS(G141),0)</f>
        <v/>
      </c>
      <c r="P141" s="32">
        <f>IF(AND(B141="SELL",D141&gt;0),R141/D141,0)</f>
        <v/>
      </c>
      <c r="Q141" s="33">
        <f>IF(AND(B141="SELL",D141&gt;0,E141&gt;0),(D141/E141)+G141,0)</f>
        <v/>
      </c>
      <c r="R141" s="61">
        <f>IF(B141="SELL",Q141*F141,0)</f>
        <v/>
      </c>
      <c r="S141" s="61">
        <f>S140+R141</f>
        <v/>
      </c>
    </row>
    <row r="142" ht="15.75" customHeight="1" s="94">
      <c r="A142" s="14" t="n"/>
      <c r="B142" s="14">
        <f>IF(D142="","",IF(G142&lt;0,"SELL","BUY"))</f>
        <v/>
      </c>
      <c r="C142" s="14" t="n"/>
      <c r="D142" s="14" t="n"/>
      <c r="E142" s="14" t="n"/>
      <c r="F142" s="14" t="n"/>
      <c r="G142" s="14" t="n"/>
      <c r="H142" s="19" t="n">
        <v>-0.06</v>
      </c>
      <c r="I142" s="19">
        <f>I141+G142+H142</f>
        <v/>
      </c>
      <c r="J142" s="14" t="n"/>
      <c r="K142" s="20">
        <f>IF(AND(B142="SELL",E142&gt;0,J142&lt;&gt;""),J142/E142,0)</f>
        <v/>
      </c>
      <c r="L142" s="14" t="n"/>
      <c r="M142" s="18">
        <f>IF(AND(B142="SELL",L142&gt;0),D142*L142,0)</f>
        <v/>
      </c>
      <c r="N142" s="14" t="n"/>
      <c r="O142" s="21">
        <f>IF(AND(B142="SELL",G142&lt;&gt;0),Q142/ABS(G142),0)</f>
        <v/>
      </c>
      <c r="P142" s="21">
        <f>IF(AND(B142="SELL",D142&gt;0),R142/D142,0)</f>
        <v/>
      </c>
      <c r="Q142" s="22">
        <f>IF(AND(B142="SELL",D142&gt;0,E142&gt;0),(D142/E142)+G142,0)</f>
        <v/>
      </c>
      <c r="R142" s="60">
        <f>IF(B142="SELL",Q142*F142,0)</f>
        <v/>
      </c>
      <c r="S142" s="60">
        <f>S141+R142</f>
        <v/>
      </c>
    </row>
    <row r="143" ht="15.75" customHeight="1" s="94">
      <c r="A143" s="25" t="n"/>
      <c r="B143" s="25">
        <f>IF(D143="","",IF(G143&lt;0,"SELL","BUY"))</f>
        <v/>
      </c>
      <c r="C143" s="25" t="n"/>
      <c r="D143" s="25" t="n"/>
      <c r="E143" s="25" t="n"/>
      <c r="F143" s="25" t="n"/>
      <c r="G143" s="25" t="n"/>
      <c r="H143" s="30" t="n">
        <v>-0.06</v>
      </c>
      <c r="I143" s="30">
        <f>I142+G143+H143</f>
        <v/>
      </c>
      <c r="J143" s="25" t="n"/>
      <c r="K143" s="31">
        <f>IF(AND(B143="SELL",E143&gt;0,J143&lt;&gt;""),J143/E143,0)</f>
        <v/>
      </c>
      <c r="L143" s="25" t="n"/>
      <c r="M143" s="29">
        <f>IF(AND(B143="SELL",L143&gt;0),D143*L143,0)</f>
        <v/>
      </c>
      <c r="N143" s="25" t="n"/>
      <c r="O143" s="32">
        <f>IF(AND(B143="SELL",G143&lt;&gt;0),Q143/ABS(G143),0)</f>
        <v/>
      </c>
      <c r="P143" s="32">
        <f>IF(AND(B143="SELL",D143&gt;0),R143/D143,0)</f>
        <v/>
      </c>
      <c r="Q143" s="33">
        <f>IF(AND(B143="SELL",D143&gt;0,E143&gt;0),(D143/E143)+G143,0)</f>
        <v/>
      </c>
      <c r="R143" s="61">
        <f>IF(B143="SELL",Q143*F143,0)</f>
        <v/>
      </c>
      <c r="S143" s="61">
        <f>S142+R143</f>
        <v/>
      </c>
    </row>
    <row r="144" ht="15.75" customHeight="1" s="94">
      <c r="A144" s="14" t="n"/>
      <c r="B144" s="14">
        <f>IF(D144="","",IF(G144&lt;0,"SELL","BUY"))</f>
        <v/>
      </c>
      <c r="C144" s="14" t="n"/>
      <c r="D144" s="14" t="n"/>
      <c r="E144" s="14" t="n"/>
      <c r="F144" s="14" t="n"/>
      <c r="G144" s="14" t="n"/>
      <c r="H144" s="19" t="n">
        <v>-0.06</v>
      </c>
      <c r="I144" s="19">
        <f>I143+G144+H144</f>
        <v/>
      </c>
      <c r="J144" s="14" t="n"/>
      <c r="K144" s="20">
        <f>IF(AND(B144="SELL",E144&gt;0,J144&lt;&gt;""),J144/E144,0)</f>
        <v/>
      </c>
      <c r="L144" s="14" t="n"/>
      <c r="M144" s="18">
        <f>IF(AND(B144="SELL",L144&gt;0),D144*L144,0)</f>
        <v/>
      </c>
      <c r="N144" s="14" t="n"/>
      <c r="O144" s="21">
        <f>IF(AND(B144="SELL",G144&lt;&gt;0),Q144/ABS(G144),0)</f>
        <v/>
      </c>
      <c r="P144" s="21">
        <f>IF(AND(B144="SELL",D144&gt;0),R144/D144,0)</f>
        <v/>
      </c>
      <c r="Q144" s="22">
        <f>IF(AND(B144="SELL",D144&gt;0,E144&gt;0),(D144/E144)+G144,0)</f>
        <v/>
      </c>
      <c r="R144" s="60">
        <f>IF(B144="SELL",Q144*F144,0)</f>
        <v/>
      </c>
      <c r="S144" s="60">
        <f>S143+R144</f>
        <v/>
      </c>
    </row>
    <row r="145" ht="15.75" customHeight="1" s="94">
      <c r="A145" s="25" t="n"/>
      <c r="B145" s="25">
        <f>IF(D145="","",IF(G145&lt;0,"SELL","BUY"))</f>
        <v/>
      </c>
      <c r="C145" s="25" t="n"/>
      <c r="D145" s="25" t="n"/>
      <c r="E145" s="25" t="n"/>
      <c r="F145" s="25" t="n"/>
      <c r="G145" s="25" t="n"/>
      <c r="H145" s="30" t="n">
        <v>-0.06</v>
      </c>
      <c r="I145" s="30">
        <f>I144+G145+H145</f>
        <v/>
      </c>
      <c r="J145" s="25" t="n"/>
      <c r="K145" s="31">
        <f>IF(AND(B145="SELL",E145&gt;0,J145&lt;&gt;""),J145/E145,0)</f>
        <v/>
      </c>
      <c r="L145" s="25" t="n"/>
      <c r="M145" s="29">
        <f>IF(AND(B145="SELL",L145&gt;0),D145*L145,0)</f>
        <v/>
      </c>
      <c r="N145" s="25" t="n"/>
      <c r="O145" s="32">
        <f>IF(AND(B145="SELL",G145&lt;&gt;0),Q145/ABS(G145),0)</f>
        <v/>
      </c>
      <c r="P145" s="32">
        <f>IF(AND(B145="SELL",D145&gt;0),R145/D145,0)</f>
        <v/>
      </c>
      <c r="Q145" s="33">
        <f>IF(AND(B145="SELL",D145&gt;0,E145&gt;0),(D145/E145)+G145,0)</f>
        <v/>
      </c>
      <c r="R145" s="61">
        <f>IF(B145="SELL",Q145*F145,0)</f>
        <v/>
      </c>
      <c r="S145" s="61">
        <f>S144+R145</f>
        <v/>
      </c>
    </row>
    <row r="146" ht="15.75" customHeight="1" s="94">
      <c r="A146" s="14" t="n"/>
      <c r="B146" s="14">
        <f>IF(D146="","",IF(G146&lt;0,"SELL","BUY"))</f>
        <v/>
      </c>
      <c r="C146" s="14" t="n"/>
      <c r="D146" s="14" t="n"/>
      <c r="E146" s="14" t="n"/>
      <c r="F146" s="14" t="n"/>
      <c r="G146" s="14" t="n"/>
      <c r="H146" s="19" t="n">
        <v>-0.06</v>
      </c>
      <c r="I146" s="19">
        <f>I145+G146+H146</f>
        <v/>
      </c>
      <c r="J146" s="14" t="n"/>
      <c r="K146" s="20">
        <f>IF(AND(B146="SELL",E146&gt;0,J146&lt;&gt;""),J146/E146,0)</f>
        <v/>
      </c>
      <c r="L146" s="14" t="n"/>
      <c r="M146" s="18">
        <f>IF(AND(B146="SELL",L146&gt;0),D146*L146,0)</f>
        <v/>
      </c>
      <c r="N146" s="14" t="n"/>
      <c r="O146" s="21">
        <f>IF(AND(B146="SELL",G146&lt;&gt;0),Q146/ABS(G146),0)</f>
        <v/>
      </c>
      <c r="P146" s="21">
        <f>IF(AND(B146="SELL",D146&gt;0),R146/D146,0)</f>
        <v/>
      </c>
      <c r="Q146" s="22">
        <f>IF(AND(B146="SELL",D146&gt;0,E146&gt;0),(D146/E146)+G146,0)</f>
        <v/>
      </c>
      <c r="R146" s="60">
        <f>IF(B146="SELL",Q146*F146,0)</f>
        <v/>
      </c>
      <c r="S146" s="60">
        <f>S145+R146</f>
        <v/>
      </c>
    </row>
    <row r="147" ht="15.75" customHeight="1" s="94">
      <c r="A147" s="25" t="n"/>
      <c r="B147" s="25">
        <f>IF(D147="","",IF(G147&lt;0,"SELL","BUY"))</f>
        <v/>
      </c>
      <c r="C147" s="25" t="n"/>
      <c r="D147" s="25" t="n"/>
      <c r="E147" s="25" t="n"/>
      <c r="F147" s="25" t="n"/>
      <c r="G147" s="25" t="n"/>
      <c r="H147" s="30" t="n">
        <v>-0.06</v>
      </c>
      <c r="I147" s="30">
        <f>I146+G147+H147</f>
        <v/>
      </c>
      <c r="J147" s="25" t="n"/>
      <c r="K147" s="31">
        <f>IF(AND(B147="SELL",E147&gt;0,J147&lt;&gt;""),J147/E147,0)</f>
        <v/>
      </c>
      <c r="L147" s="25" t="n"/>
      <c r="M147" s="29">
        <f>IF(AND(B147="SELL",L147&gt;0),D147*L147,0)</f>
        <v/>
      </c>
      <c r="N147" s="25" t="n"/>
      <c r="O147" s="32">
        <f>IF(AND(B147="SELL",G147&lt;&gt;0),Q147/ABS(G147),0)</f>
        <v/>
      </c>
      <c r="P147" s="32">
        <f>IF(AND(B147="SELL",D147&gt;0),R147/D147,0)</f>
        <v/>
      </c>
      <c r="Q147" s="33">
        <f>IF(AND(B147="SELL",D147&gt;0,E147&gt;0),(D147/E147)+G147,0)</f>
        <v/>
      </c>
      <c r="R147" s="61">
        <f>IF(B147="SELL",Q147*F147,0)</f>
        <v/>
      </c>
      <c r="S147" s="61">
        <f>S146+R147</f>
        <v/>
      </c>
    </row>
    <row r="148" ht="15.75" customHeight="1" s="94">
      <c r="A148" s="14" t="n"/>
      <c r="B148" s="14">
        <f>IF(D148="","",IF(G148&lt;0,"SELL","BUY"))</f>
        <v/>
      </c>
      <c r="C148" s="14" t="n"/>
      <c r="D148" s="14" t="n"/>
      <c r="E148" s="14" t="n"/>
      <c r="F148" s="14" t="n"/>
      <c r="G148" s="14" t="n"/>
      <c r="H148" s="19" t="n">
        <v>-0.06</v>
      </c>
      <c r="I148" s="19">
        <f>I147+G148+H148</f>
        <v/>
      </c>
      <c r="J148" s="14" t="n"/>
      <c r="K148" s="20">
        <f>IF(AND(B148="SELL",E148&gt;0,J148&lt;&gt;""),J148/E148,0)</f>
        <v/>
      </c>
      <c r="L148" s="14" t="n"/>
      <c r="M148" s="18">
        <f>IF(AND(B148="SELL",L148&gt;0),D148*L148,0)</f>
        <v/>
      </c>
      <c r="N148" s="14" t="n"/>
      <c r="O148" s="21">
        <f>IF(AND(B148="SELL",G148&lt;&gt;0),Q148/ABS(G148),0)</f>
        <v/>
      </c>
      <c r="P148" s="21">
        <f>IF(AND(B148="SELL",D148&gt;0),R148/D148,0)</f>
        <v/>
      </c>
      <c r="Q148" s="22">
        <f>IF(AND(B148="SELL",D148&gt;0,E148&gt;0),(D148/E148)+G148,0)</f>
        <v/>
      </c>
      <c r="R148" s="60">
        <f>IF(B148="SELL",Q148*F148,0)</f>
        <v/>
      </c>
      <c r="S148" s="60">
        <f>S147+R148</f>
        <v/>
      </c>
    </row>
    <row r="149" ht="15.75" customHeight="1" s="94">
      <c r="A149" s="25" t="n"/>
      <c r="B149" s="25">
        <f>IF(D149="","",IF(G149&lt;0,"SELL","BUY"))</f>
        <v/>
      </c>
      <c r="C149" s="25" t="n"/>
      <c r="D149" s="25" t="n"/>
      <c r="E149" s="25" t="n"/>
      <c r="F149" s="25" t="n"/>
      <c r="G149" s="25" t="n"/>
      <c r="H149" s="30" t="n">
        <v>-0.06</v>
      </c>
      <c r="I149" s="30">
        <f>I148+G149+H149</f>
        <v/>
      </c>
      <c r="J149" s="25" t="n"/>
      <c r="K149" s="31">
        <f>IF(AND(B149="SELL",E149&gt;0,J149&lt;&gt;""),J149/E149,0)</f>
        <v/>
      </c>
      <c r="L149" s="25" t="n"/>
      <c r="M149" s="29">
        <f>IF(AND(B149="SELL",L149&gt;0),D149*L149,0)</f>
        <v/>
      </c>
      <c r="N149" s="25" t="n"/>
      <c r="O149" s="32">
        <f>IF(AND(B149="SELL",G149&lt;&gt;0),Q149/ABS(G149),0)</f>
        <v/>
      </c>
      <c r="P149" s="32">
        <f>IF(AND(B149="SELL",D149&gt;0),R149/D149,0)</f>
        <v/>
      </c>
      <c r="Q149" s="33">
        <f>IF(AND(B149="SELL",D149&gt;0,E149&gt;0),(D149/E149)+G149,0)</f>
        <v/>
      </c>
      <c r="R149" s="61">
        <f>IF(B149="SELL",Q149*F149,0)</f>
        <v/>
      </c>
      <c r="S149" s="61">
        <f>S148+R149</f>
        <v/>
      </c>
    </row>
    <row r="150" ht="15.75" customHeight="1" s="94">
      <c r="A150" s="14" t="n"/>
      <c r="B150" s="14">
        <f>IF(D150="","",IF(G150&lt;0,"SELL","BUY"))</f>
        <v/>
      </c>
      <c r="C150" s="14" t="n"/>
      <c r="D150" s="14" t="n"/>
      <c r="E150" s="14" t="n"/>
      <c r="F150" s="14" t="n"/>
      <c r="G150" s="14" t="n"/>
      <c r="H150" s="19" t="n">
        <v>-0.06</v>
      </c>
      <c r="I150" s="19">
        <f>I149+G150+H150</f>
        <v/>
      </c>
      <c r="J150" s="14" t="n"/>
      <c r="K150" s="20">
        <f>IF(AND(B150="SELL",E150&gt;0,J150&lt;&gt;""),J150/E150,0)</f>
        <v/>
      </c>
      <c r="L150" s="14" t="n"/>
      <c r="M150" s="18">
        <f>IF(AND(B150="SELL",L150&gt;0),D150*L150,0)</f>
        <v/>
      </c>
      <c r="N150" s="14" t="n"/>
      <c r="O150" s="21">
        <f>IF(AND(B150="SELL",G150&lt;&gt;0),Q150/ABS(G150),0)</f>
        <v/>
      </c>
      <c r="P150" s="21">
        <f>IF(AND(B150="SELL",D150&gt;0),R150/D150,0)</f>
        <v/>
      </c>
      <c r="Q150" s="22">
        <f>IF(AND(B150="SELL",D150&gt;0,E150&gt;0),(D150/E150)+G150,0)</f>
        <v/>
      </c>
      <c r="R150" s="60">
        <f>IF(B150="SELL",Q150*F150,0)</f>
        <v/>
      </c>
      <c r="S150" s="60">
        <f>S149+R150</f>
        <v/>
      </c>
    </row>
    <row r="151" ht="15.75" customHeight="1" s="94">
      <c r="A151" s="25" t="n"/>
      <c r="B151" s="25">
        <f>IF(D151="","",IF(G151&lt;0,"SELL","BUY"))</f>
        <v/>
      </c>
      <c r="C151" s="25" t="n"/>
      <c r="D151" s="25" t="n"/>
      <c r="E151" s="25" t="n"/>
      <c r="F151" s="25" t="n"/>
      <c r="G151" s="25" t="n"/>
      <c r="H151" s="30" t="n">
        <v>-0.06</v>
      </c>
      <c r="I151" s="30">
        <f>I150+G151+H151</f>
        <v/>
      </c>
      <c r="J151" s="25" t="n"/>
      <c r="K151" s="31">
        <f>IF(AND(B151="SELL",E151&gt;0,J151&lt;&gt;""),J151/E151,0)</f>
        <v/>
      </c>
      <c r="L151" s="25" t="n"/>
      <c r="M151" s="29">
        <f>IF(AND(B151="SELL",L151&gt;0),D151*L151,0)</f>
        <v/>
      </c>
      <c r="N151" s="25" t="n"/>
      <c r="O151" s="32">
        <f>IF(AND(B151="SELL",G151&lt;&gt;0),Q151/ABS(G151),0)</f>
        <v/>
      </c>
      <c r="P151" s="32">
        <f>IF(AND(B151="SELL",D151&gt;0),R151/D151,0)</f>
        <v/>
      </c>
      <c r="Q151" s="33">
        <f>IF(AND(B151="SELL",D151&gt;0,E151&gt;0),(D151/E151)+G151,0)</f>
        <v/>
      </c>
      <c r="R151" s="61">
        <f>IF(B151="SELL",Q151*F151,0)</f>
        <v/>
      </c>
      <c r="S151" s="61">
        <f>S150+R151</f>
        <v/>
      </c>
    </row>
    <row r="152" ht="15.75" customHeight="1" s="94">
      <c r="A152" s="14" t="n"/>
      <c r="B152" s="14">
        <f>IF(D152="","",IF(G152&lt;0,"SELL","BUY"))</f>
        <v/>
      </c>
      <c r="C152" s="14" t="n"/>
      <c r="D152" s="14" t="n"/>
      <c r="E152" s="14" t="n"/>
      <c r="F152" s="14" t="n"/>
      <c r="G152" s="14" t="n"/>
      <c r="H152" s="19" t="n">
        <v>-0.06</v>
      </c>
      <c r="I152" s="19">
        <f>I151+G152+H152</f>
        <v/>
      </c>
      <c r="J152" s="14" t="n"/>
      <c r="K152" s="20">
        <f>IF(AND(B152="SELL",E152&gt;0,J152&lt;&gt;""),J152/E152,0)</f>
        <v/>
      </c>
      <c r="L152" s="14" t="n"/>
      <c r="M152" s="18">
        <f>IF(AND(B152="SELL",L152&gt;0),D152*L152,0)</f>
        <v/>
      </c>
      <c r="N152" s="14" t="n"/>
      <c r="O152" s="21">
        <f>IF(AND(B152="SELL",G152&lt;&gt;0),Q152/ABS(G152),0)</f>
        <v/>
      </c>
      <c r="P152" s="21">
        <f>IF(AND(B152="SELL",D152&gt;0),R152/D152,0)</f>
        <v/>
      </c>
      <c r="Q152" s="22">
        <f>IF(AND(B152="SELL",D152&gt;0,E152&gt;0),(D152/E152)+G152,0)</f>
        <v/>
      </c>
      <c r="R152" s="60">
        <f>IF(B152="SELL",Q152*F152,0)</f>
        <v/>
      </c>
      <c r="S152" s="60">
        <f>S151+R152</f>
        <v/>
      </c>
    </row>
    <row r="153" ht="15.75" customHeight="1" s="94">
      <c r="A153" s="25" t="n"/>
      <c r="B153" s="25">
        <f>IF(D153="","",IF(G153&lt;0,"SELL","BUY"))</f>
        <v/>
      </c>
      <c r="C153" s="25" t="n"/>
      <c r="D153" s="25" t="n"/>
      <c r="E153" s="25" t="n"/>
      <c r="F153" s="25" t="n"/>
      <c r="G153" s="25" t="n"/>
      <c r="H153" s="30" t="n">
        <v>-0.06</v>
      </c>
      <c r="I153" s="30">
        <f>I152+G153+H153</f>
        <v/>
      </c>
      <c r="J153" s="25" t="n"/>
      <c r="K153" s="31">
        <f>IF(AND(B153="SELL",E153&gt;0,J153&lt;&gt;""),J153/E153,0)</f>
        <v/>
      </c>
      <c r="L153" s="25" t="n"/>
      <c r="M153" s="29">
        <f>IF(AND(B153="SELL",L153&gt;0),D153*L153,0)</f>
        <v/>
      </c>
      <c r="N153" s="25" t="n"/>
      <c r="O153" s="32">
        <f>IF(AND(B153="SELL",G153&lt;&gt;0),Q153/ABS(G153),0)</f>
        <v/>
      </c>
      <c r="P153" s="32">
        <f>IF(AND(B153="SELL",D153&gt;0),R153/D153,0)</f>
        <v/>
      </c>
      <c r="Q153" s="33">
        <f>IF(AND(B153="SELL",D153&gt;0,E153&gt;0),(D153/E153)+G153,0)</f>
        <v/>
      </c>
      <c r="R153" s="61">
        <f>IF(B153="SELL",Q153*F153,0)</f>
        <v/>
      </c>
      <c r="S153" s="61">
        <f>S152+R153</f>
        <v/>
      </c>
    </row>
    <row r="154" ht="15.75" customHeight="1" s="94">
      <c r="A154" s="14" t="n"/>
      <c r="B154" s="14">
        <f>IF(D154="","",IF(G154&lt;0,"SELL","BUY"))</f>
        <v/>
      </c>
      <c r="C154" s="14" t="n"/>
      <c r="D154" s="14" t="n"/>
      <c r="E154" s="14" t="n"/>
      <c r="F154" s="14" t="n"/>
      <c r="G154" s="14" t="n"/>
      <c r="H154" s="19" t="n">
        <v>-0.06</v>
      </c>
      <c r="I154" s="19">
        <f>I153+G154+H154</f>
        <v/>
      </c>
      <c r="J154" s="14" t="n"/>
      <c r="K154" s="20">
        <f>IF(AND(B154="SELL",E154&gt;0,J154&lt;&gt;""),J154/E154,0)</f>
        <v/>
      </c>
      <c r="L154" s="14" t="n"/>
      <c r="M154" s="18">
        <f>IF(AND(B154="SELL",L154&gt;0),D154*L154,0)</f>
        <v/>
      </c>
      <c r="N154" s="14" t="n"/>
      <c r="O154" s="21">
        <f>IF(AND(B154="SELL",G154&lt;&gt;0),Q154/ABS(G154),0)</f>
        <v/>
      </c>
      <c r="P154" s="21">
        <f>IF(AND(B154="SELL",D154&gt;0),R154/D154,0)</f>
        <v/>
      </c>
      <c r="Q154" s="22">
        <f>IF(AND(B154="SELL",D154&gt;0,E154&gt;0),(D154/E154)+G154,0)</f>
        <v/>
      </c>
      <c r="R154" s="60">
        <f>IF(B154="SELL",Q154*F154,0)</f>
        <v/>
      </c>
      <c r="S154" s="60">
        <f>S153+R154</f>
        <v/>
      </c>
    </row>
    <row r="155" ht="15.75" customHeight="1" s="94">
      <c r="A155" s="25" t="n"/>
      <c r="B155" s="25">
        <f>IF(D155="","",IF(G155&lt;0,"SELL","BUY"))</f>
        <v/>
      </c>
      <c r="C155" s="25" t="n"/>
      <c r="D155" s="25" t="n"/>
      <c r="E155" s="25" t="n"/>
      <c r="F155" s="25" t="n"/>
      <c r="G155" s="25" t="n"/>
      <c r="H155" s="30" t="n">
        <v>-0.06</v>
      </c>
      <c r="I155" s="30">
        <f>I154+G155+H155</f>
        <v/>
      </c>
      <c r="J155" s="25" t="n"/>
      <c r="K155" s="31">
        <f>IF(AND(B155="SELL",E155&gt;0,J155&lt;&gt;""),J155/E155,0)</f>
        <v/>
      </c>
      <c r="L155" s="25" t="n"/>
      <c r="M155" s="29">
        <f>IF(AND(B155="SELL",L155&gt;0),D155*L155,0)</f>
        <v/>
      </c>
      <c r="N155" s="25" t="n"/>
      <c r="O155" s="32">
        <f>IF(AND(B155="SELL",G155&lt;&gt;0),Q155/ABS(G155),0)</f>
        <v/>
      </c>
      <c r="P155" s="32">
        <f>IF(AND(B155="SELL",D155&gt;0),R155/D155,0)</f>
        <v/>
      </c>
      <c r="Q155" s="33">
        <f>IF(AND(B155="SELL",D155&gt;0,E155&gt;0),(D155/E155)+G155,0)</f>
        <v/>
      </c>
      <c r="R155" s="61">
        <f>IF(B155="SELL",Q155*F155,0)</f>
        <v/>
      </c>
      <c r="S155" s="61">
        <f>S154+R155</f>
        <v/>
      </c>
    </row>
    <row r="156" ht="15.75" customHeight="1" s="94">
      <c r="A156" s="14" t="n"/>
      <c r="B156" s="14">
        <f>IF(D156="","",IF(G156&lt;0,"SELL","BUY"))</f>
        <v/>
      </c>
      <c r="C156" s="14" t="n"/>
      <c r="D156" s="14" t="n"/>
      <c r="E156" s="14" t="n"/>
      <c r="F156" s="14" t="n"/>
      <c r="G156" s="14" t="n"/>
      <c r="H156" s="19" t="n">
        <v>-0.06</v>
      </c>
      <c r="I156" s="19">
        <f>I155+G156+H156</f>
        <v/>
      </c>
      <c r="J156" s="14" t="n"/>
      <c r="K156" s="20">
        <f>IF(AND(B156="SELL",E156&gt;0,J156&lt;&gt;""),J156/E156,0)</f>
        <v/>
      </c>
      <c r="L156" s="14" t="n"/>
      <c r="M156" s="18">
        <f>IF(AND(B156="SELL",L156&gt;0),D156*L156,0)</f>
        <v/>
      </c>
      <c r="N156" s="14" t="n"/>
      <c r="O156" s="21">
        <f>IF(AND(B156="SELL",G156&lt;&gt;0),Q156/ABS(G156),0)</f>
        <v/>
      </c>
      <c r="P156" s="21">
        <f>IF(AND(B156="SELL",D156&gt;0),R156/D156,0)</f>
        <v/>
      </c>
      <c r="Q156" s="22">
        <f>IF(AND(B156="SELL",D156&gt;0,E156&gt;0),(D156/E156)+G156,0)</f>
        <v/>
      </c>
      <c r="R156" s="60">
        <f>IF(B156="SELL",Q156*F156,0)</f>
        <v/>
      </c>
      <c r="S156" s="60">
        <f>S155+R156</f>
        <v/>
      </c>
    </row>
    <row r="157" ht="15.75" customHeight="1" s="94">
      <c r="A157" s="25" t="n"/>
      <c r="B157" s="25">
        <f>IF(D157="","",IF(G157&lt;0,"SELL","BUY"))</f>
        <v/>
      </c>
      <c r="C157" s="25" t="n"/>
      <c r="D157" s="25" t="n"/>
      <c r="E157" s="25" t="n"/>
      <c r="F157" s="25" t="n"/>
      <c r="G157" s="25" t="n"/>
      <c r="H157" s="30" t="n">
        <v>-0.06</v>
      </c>
      <c r="I157" s="30">
        <f>I156+G157+H157</f>
        <v/>
      </c>
      <c r="J157" s="25" t="n"/>
      <c r="K157" s="31">
        <f>IF(AND(B157="SELL",E157&gt;0,J157&lt;&gt;""),J157/E157,0)</f>
        <v/>
      </c>
      <c r="L157" s="25" t="n"/>
      <c r="M157" s="29">
        <f>IF(AND(B157="SELL",L157&gt;0),D157*L157,0)</f>
        <v/>
      </c>
      <c r="N157" s="25" t="n"/>
      <c r="O157" s="32">
        <f>IF(AND(B157="SELL",G157&lt;&gt;0),Q157/ABS(G157),0)</f>
        <v/>
      </c>
      <c r="P157" s="32">
        <f>IF(AND(B157="SELL",D157&gt;0),R157/D157,0)</f>
        <v/>
      </c>
      <c r="Q157" s="33">
        <f>IF(AND(B157="SELL",D157&gt;0,E157&gt;0),(D157/E157)+G157,0)</f>
        <v/>
      </c>
      <c r="R157" s="61">
        <f>IF(B157="SELL",Q157*F157,0)</f>
        <v/>
      </c>
      <c r="S157" s="61">
        <f>S156+R157</f>
        <v/>
      </c>
    </row>
    <row r="158" ht="15.75" customHeight="1" s="94">
      <c r="A158" s="14" t="n"/>
      <c r="B158" s="14">
        <f>IF(D158="","",IF(G158&lt;0,"SELL","BUY"))</f>
        <v/>
      </c>
      <c r="C158" s="14" t="n"/>
      <c r="D158" s="14" t="n"/>
      <c r="E158" s="14" t="n"/>
      <c r="F158" s="14" t="n"/>
      <c r="G158" s="14" t="n"/>
      <c r="H158" s="19" t="n">
        <v>-0.06</v>
      </c>
      <c r="I158" s="19">
        <f>I157+G158+H158</f>
        <v/>
      </c>
      <c r="J158" s="14" t="n"/>
      <c r="K158" s="20">
        <f>IF(AND(B158="SELL",E158&gt;0,J158&lt;&gt;""),J158/E158,0)</f>
        <v/>
      </c>
      <c r="L158" s="14" t="n"/>
      <c r="M158" s="18">
        <f>IF(AND(B158="SELL",L158&gt;0),D158*L158,0)</f>
        <v/>
      </c>
      <c r="N158" s="14" t="n"/>
      <c r="O158" s="21">
        <f>IF(AND(B158="SELL",G158&lt;&gt;0),Q158/ABS(G158),0)</f>
        <v/>
      </c>
      <c r="P158" s="21">
        <f>IF(AND(B158="SELL",D158&gt;0),R158/D158,0)</f>
        <v/>
      </c>
      <c r="Q158" s="22">
        <f>IF(AND(B158="SELL",D158&gt;0,E158&gt;0),(D158/E158)+G158,0)</f>
        <v/>
      </c>
      <c r="R158" s="60">
        <f>IF(B158="SELL",Q158*F158,0)</f>
        <v/>
      </c>
      <c r="S158" s="60">
        <f>S157+R158</f>
        <v/>
      </c>
    </row>
    <row r="159" ht="15.75" customHeight="1" s="94">
      <c r="A159" s="25" t="n"/>
      <c r="B159" s="25">
        <f>IF(D159="","",IF(G159&lt;0,"SELL","BUY"))</f>
        <v/>
      </c>
      <c r="C159" s="25" t="n"/>
      <c r="D159" s="25" t="n"/>
      <c r="E159" s="25" t="n"/>
      <c r="F159" s="25" t="n"/>
      <c r="G159" s="25" t="n"/>
      <c r="H159" s="30" t="n">
        <v>-0.06</v>
      </c>
      <c r="I159" s="30">
        <f>I158+G159+H159</f>
        <v/>
      </c>
      <c r="J159" s="25" t="n"/>
      <c r="K159" s="31">
        <f>IF(AND(B159="SELL",E159&gt;0,J159&lt;&gt;""),J159/E159,0)</f>
        <v/>
      </c>
      <c r="L159" s="25" t="n"/>
      <c r="M159" s="29">
        <f>IF(AND(B159="SELL",L159&gt;0),D159*L159,0)</f>
        <v/>
      </c>
      <c r="N159" s="25" t="n"/>
      <c r="O159" s="32">
        <f>IF(AND(B159="SELL",G159&lt;&gt;0),Q159/ABS(G159),0)</f>
        <v/>
      </c>
      <c r="P159" s="32">
        <f>IF(AND(B159="SELL",D159&gt;0),R159/D159,0)</f>
        <v/>
      </c>
      <c r="Q159" s="33">
        <f>IF(AND(B159="SELL",D159&gt;0,E159&gt;0),(D159/E159)+G159,0)</f>
        <v/>
      </c>
      <c r="R159" s="61">
        <f>IF(B159="SELL",Q159*F159,0)</f>
        <v/>
      </c>
      <c r="S159" s="61">
        <f>S158+R159</f>
        <v/>
      </c>
    </row>
    <row r="160" ht="15.75" customHeight="1" s="94">
      <c r="A160" s="14" t="n"/>
      <c r="B160" s="14">
        <f>IF(D160="","",IF(G160&lt;0,"SELL","BUY"))</f>
        <v/>
      </c>
      <c r="C160" s="14" t="n"/>
      <c r="D160" s="14" t="n"/>
      <c r="E160" s="14" t="n"/>
      <c r="F160" s="14" t="n"/>
      <c r="G160" s="14" t="n"/>
      <c r="H160" s="19" t="n">
        <v>-0.06</v>
      </c>
      <c r="I160" s="19">
        <f>I159+G160+H160</f>
        <v/>
      </c>
      <c r="J160" s="14" t="n"/>
      <c r="K160" s="20">
        <f>IF(AND(B160="SELL",E160&gt;0,J160&lt;&gt;""),J160/E160,0)</f>
        <v/>
      </c>
      <c r="L160" s="14" t="n"/>
      <c r="M160" s="18">
        <f>IF(AND(B160="SELL",L160&gt;0),D160*L160,0)</f>
        <v/>
      </c>
      <c r="N160" s="14" t="n"/>
      <c r="O160" s="21">
        <f>IF(AND(B160="SELL",G160&lt;&gt;0),Q160/ABS(G160),0)</f>
        <v/>
      </c>
      <c r="P160" s="21">
        <f>IF(AND(B160="SELL",D160&gt;0),R160/D160,0)</f>
        <v/>
      </c>
      <c r="Q160" s="22">
        <f>IF(AND(B160="SELL",D160&gt;0,E160&gt;0),(D160/E160)+G160,0)</f>
        <v/>
      </c>
      <c r="R160" s="60">
        <f>IF(B160="SELL",Q160*F160,0)</f>
        <v/>
      </c>
      <c r="S160" s="60">
        <f>S159+R160</f>
        <v/>
      </c>
    </row>
    <row r="161" ht="15.75" customHeight="1" s="94">
      <c r="A161" s="25" t="n"/>
      <c r="B161" s="25">
        <f>IF(D161="","",IF(G161&lt;0,"SELL","BUY"))</f>
        <v/>
      </c>
      <c r="C161" s="25" t="n"/>
      <c r="D161" s="25" t="n"/>
      <c r="E161" s="25" t="n"/>
      <c r="F161" s="25" t="n"/>
      <c r="G161" s="25" t="n"/>
      <c r="H161" s="30" t="n">
        <v>-0.06</v>
      </c>
      <c r="I161" s="30">
        <f>I160+G161+H161</f>
        <v/>
      </c>
      <c r="J161" s="25" t="n"/>
      <c r="K161" s="31">
        <f>IF(AND(B161="SELL",E161&gt;0,J161&lt;&gt;""),J161/E161,0)</f>
        <v/>
      </c>
      <c r="L161" s="25" t="n"/>
      <c r="M161" s="29">
        <f>IF(AND(B161="SELL",L161&gt;0),D161*L161,0)</f>
        <v/>
      </c>
      <c r="N161" s="25" t="n"/>
      <c r="O161" s="32">
        <f>IF(AND(B161="SELL",G161&lt;&gt;0),Q161/ABS(G161),0)</f>
        <v/>
      </c>
      <c r="P161" s="32">
        <f>IF(AND(B161="SELL",D161&gt;0),R161/D161,0)</f>
        <v/>
      </c>
      <c r="Q161" s="33">
        <f>IF(AND(B161="SELL",D161&gt;0,E161&gt;0),(D161/E161)+G161,0)</f>
        <v/>
      </c>
      <c r="R161" s="61">
        <f>IF(B161="SELL",Q161*F161,0)</f>
        <v/>
      </c>
      <c r="S161" s="61">
        <f>S160+R161</f>
        <v/>
      </c>
    </row>
    <row r="162" ht="15.75" customHeight="1" s="94">
      <c r="A162" s="14" t="n"/>
      <c r="B162" s="14">
        <f>IF(D162="","",IF(G162&lt;0,"SELL","BUY"))</f>
        <v/>
      </c>
      <c r="C162" s="14" t="n"/>
      <c r="D162" s="14" t="n"/>
      <c r="E162" s="14" t="n"/>
      <c r="F162" s="14" t="n"/>
      <c r="G162" s="14" t="n"/>
      <c r="H162" s="19" t="n">
        <v>-0.06</v>
      </c>
      <c r="I162" s="19">
        <f>I161+G162+H162</f>
        <v/>
      </c>
      <c r="J162" s="14" t="n"/>
      <c r="K162" s="20">
        <f>IF(AND(B162="SELL",E162&gt;0,J162&lt;&gt;""),J162/E162,0)</f>
        <v/>
      </c>
      <c r="L162" s="14" t="n"/>
      <c r="M162" s="18">
        <f>IF(AND(B162="SELL",L162&gt;0),D162*L162,0)</f>
        <v/>
      </c>
      <c r="N162" s="14" t="n"/>
      <c r="O162" s="21">
        <f>IF(AND(B162="SELL",G162&lt;&gt;0),Q162/ABS(G162),0)</f>
        <v/>
      </c>
      <c r="P162" s="21">
        <f>IF(AND(B162="SELL",D162&gt;0),R162/D162,0)</f>
        <v/>
      </c>
      <c r="Q162" s="22">
        <f>IF(AND(B162="SELL",D162&gt;0,E162&gt;0),(D162/E162)+G162,0)</f>
        <v/>
      </c>
      <c r="R162" s="60">
        <f>IF(B162="SELL",Q162*F162,0)</f>
        <v/>
      </c>
      <c r="S162" s="60">
        <f>S161+R162</f>
        <v/>
      </c>
    </row>
    <row r="163" ht="15.75" customHeight="1" s="94">
      <c r="A163" s="25" t="n"/>
      <c r="B163" s="25">
        <f>IF(D163="","",IF(G163&lt;0,"SELL","BUY"))</f>
        <v/>
      </c>
      <c r="C163" s="25" t="n"/>
      <c r="D163" s="25" t="n"/>
      <c r="E163" s="25" t="n"/>
      <c r="F163" s="25" t="n"/>
      <c r="G163" s="25" t="n"/>
      <c r="H163" s="30" t="n">
        <v>-0.06</v>
      </c>
      <c r="I163" s="30">
        <f>I162+G163+H163</f>
        <v/>
      </c>
      <c r="J163" s="25" t="n"/>
      <c r="K163" s="31">
        <f>IF(AND(B163="SELL",E163&gt;0,J163&lt;&gt;""),J163/E163,0)</f>
        <v/>
      </c>
      <c r="L163" s="25" t="n"/>
      <c r="M163" s="29">
        <f>IF(AND(B163="SELL",L163&gt;0),D163*L163,0)</f>
        <v/>
      </c>
      <c r="N163" s="25" t="n"/>
      <c r="O163" s="32">
        <f>IF(AND(B163="SELL",G163&lt;&gt;0),Q163/ABS(G163),0)</f>
        <v/>
      </c>
      <c r="P163" s="32">
        <f>IF(AND(B163="SELL",D163&gt;0),R163/D163,0)</f>
        <v/>
      </c>
      <c r="Q163" s="33">
        <f>IF(AND(B163="SELL",D163&gt;0,E163&gt;0),(D163/E163)+G163,0)</f>
        <v/>
      </c>
      <c r="R163" s="61">
        <f>IF(B163="SELL",Q163*F163,0)</f>
        <v/>
      </c>
      <c r="S163" s="61">
        <f>S162+R163</f>
        <v/>
      </c>
    </row>
    <row r="164" ht="15.75" customHeight="1" s="94">
      <c r="A164" s="14" t="n"/>
      <c r="B164" s="14">
        <f>IF(D164="","",IF(G164&lt;0,"SELL","BUY"))</f>
        <v/>
      </c>
      <c r="C164" s="14" t="n"/>
      <c r="D164" s="14" t="n"/>
      <c r="E164" s="14" t="n"/>
      <c r="F164" s="14" t="n"/>
      <c r="G164" s="14" t="n"/>
      <c r="H164" s="19" t="n">
        <v>-0.06</v>
      </c>
      <c r="I164" s="19">
        <f>I163+G164+H164</f>
        <v/>
      </c>
      <c r="J164" s="14" t="n"/>
      <c r="K164" s="20">
        <f>IF(AND(B164="SELL",E164&gt;0,J164&lt;&gt;""),J164/E164,0)</f>
        <v/>
      </c>
      <c r="L164" s="14" t="n"/>
      <c r="M164" s="18">
        <f>IF(AND(B164="SELL",L164&gt;0),D164*L164,0)</f>
        <v/>
      </c>
      <c r="N164" s="14" t="n"/>
      <c r="O164" s="21">
        <f>IF(AND(B164="SELL",G164&lt;&gt;0),Q164/ABS(G164),0)</f>
        <v/>
      </c>
      <c r="P164" s="21">
        <f>IF(AND(B164="SELL",D164&gt;0),R164/D164,0)</f>
        <v/>
      </c>
      <c r="Q164" s="22">
        <f>IF(AND(B164="SELL",D164&gt;0,E164&gt;0),(D164/E164)+G164,0)</f>
        <v/>
      </c>
      <c r="R164" s="60">
        <f>IF(B164="SELL",Q164*F164,0)</f>
        <v/>
      </c>
      <c r="S164" s="60">
        <f>S163+R164</f>
        <v/>
      </c>
    </row>
    <row r="165" ht="15.75" customHeight="1" s="94">
      <c r="A165" s="25" t="n"/>
      <c r="B165" s="25">
        <f>IF(D165="","",IF(G165&lt;0,"SELL","BUY"))</f>
        <v/>
      </c>
      <c r="C165" s="25" t="n"/>
      <c r="D165" s="25" t="n"/>
      <c r="E165" s="25" t="n"/>
      <c r="F165" s="25" t="n"/>
      <c r="G165" s="25" t="n"/>
      <c r="H165" s="30" t="n">
        <v>-0.06</v>
      </c>
      <c r="I165" s="30">
        <f>I164+G165+H165</f>
        <v/>
      </c>
      <c r="J165" s="25" t="n"/>
      <c r="K165" s="31">
        <f>IF(AND(B165="SELL",E165&gt;0,J165&lt;&gt;""),J165/E165,0)</f>
        <v/>
      </c>
      <c r="L165" s="25" t="n"/>
      <c r="M165" s="29">
        <f>IF(AND(B165="SELL",L165&gt;0),D165*L165,0)</f>
        <v/>
      </c>
      <c r="N165" s="25" t="n"/>
      <c r="O165" s="32">
        <f>IF(AND(B165="SELL",G165&lt;&gt;0),Q165/ABS(G165),0)</f>
        <v/>
      </c>
      <c r="P165" s="32">
        <f>IF(AND(B165="SELL",D165&gt;0),R165/D165,0)</f>
        <v/>
      </c>
      <c r="Q165" s="33">
        <f>IF(AND(B165="SELL",D165&gt;0,E165&gt;0),(D165/E165)+G165,0)</f>
        <v/>
      </c>
      <c r="R165" s="61">
        <f>IF(B165="SELL",Q165*F165,0)</f>
        <v/>
      </c>
      <c r="S165" s="61">
        <f>S164+R165</f>
        <v/>
      </c>
    </row>
    <row r="166" ht="15.75" customHeight="1" s="94">
      <c r="A166" s="14" t="n"/>
      <c r="B166" s="14">
        <f>IF(D166="","",IF(G166&lt;0,"SELL","BUY"))</f>
        <v/>
      </c>
      <c r="C166" s="14" t="n"/>
      <c r="D166" s="14" t="n"/>
      <c r="E166" s="14" t="n"/>
      <c r="F166" s="14" t="n"/>
      <c r="G166" s="14" t="n"/>
      <c r="H166" s="19" t="n">
        <v>-0.06</v>
      </c>
      <c r="I166" s="19">
        <f>I165+G166+H166</f>
        <v/>
      </c>
      <c r="J166" s="14" t="n"/>
      <c r="K166" s="20">
        <f>IF(AND(B166="SELL",E166&gt;0,J166&lt;&gt;""),J166/E166,0)</f>
        <v/>
      </c>
      <c r="L166" s="14" t="n"/>
      <c r="M166" s="18">
        <f>IF(AND(B166="SELL",L166&gt;0),D166*L166,0)</f>
        <v/>
      </c>
      <c r="N166" s="14" t="n"/>
      <c r="O166" s="21">
        <f>IF(AND(B166="SELL",G166&lt;&gt;0),Q166/ABS(G166),0)</f>
        <v/>
      </c>
      <c r="P166" s="21">
        <f>IF(AND(B166="SELL",D166&gt;0),R166/D166,0)</f>
        <v/>
      </c>
      <c r="Q166" s="22">
        <f>IF(AND(B166="SELL",D166&gt;0,E166&gt;0),(D166/E166)+G166,0)</f>
        <v/>
      </c>
      <c r="R166" s="60">
        <f>IF(B166="SELL",Q166*F166,0)</f>
        <v/>
      </c>
      <c r="S166" s="60">
        <f>S165+R166</f>
        <v/>
      </c>
    </row>
    <row r="167" ht="15.75" customHeight="1" s="94">
      <c r="A167" s="25" t="n"/>
      <c r="B167" s="25">
        <f>IF(D167="","",IF(G167&lt;0,"SELL","BUY"))</f>
        <v/>
      </c>
      <c r="C167" s="25" t="n"/>
      <c r="D167" s="25" t="n"/>
      <c r="E167" s="25" t="n"/>
      <c r="F167" s="25" t="n"/>
      <c r="G167" s="25" t="n"/>
      <c r="H167" s="30" t="n">
        <v>-0.06</v>
      </c>
      <c r="I167" s="30">
        <f>I166+G167+H167</f>
        <v/>
      </c>
      <c r="J167" s="25" t="n"/>
      <c r="K167" s="31">
        <f>IF(AND(B167="SELL",E167&gt;0,J167&lt;&gt;""),J167/E167,0)</f>
        <v/>
      </c>
      <c r="L167" s="25" t="n"/>
      <c r="M167" s="29">
        <f>IF(AND(B167="SELL",L167&gt;0),D167*L167,0)</f>
        <v/>
      </c>
      <c r="N167" s="25" t="n"/>
      <c r="O167" s="32">
        <f>IF(AND(B167="SELL",G167&lt;&gt;0),Q167/ABS(G167),0)</f>
        <v/>
      </c>
      <c r="P167" s="32">
        <f>IF(AND(B167="SELL",D167&gt;0),R167/D167,0)</f>
        <v/>
      </c>
      <c r="Q167" s="33">
        <f>IF(AND(B167="SELL",D167&gt;0,E167&gt;0),(D167/E167)+G167,0)</f>
        <v/>
      </c>
      <c r="R167" s="61">
        <f>IF(B167="SELL",Q167*F167,0)</f>
        <v/>
      </c>
      <c r="S167" s="61">
        <f>S166+R167</f>
        <v/>
      </c>
    </row>
    <row r="168" ht="15.75" customHeight="1" s="94">
      <c r="A168" s="14" t="n"/>
      <c r="B168" s="14">
        <f>IF(D168="","",IF(G168&lt;0,"SELL","BUY"))</f>
        <v/>
      </c>
      <c r="C168" s="14" t="n"/>
      <c r="D168" s="14" t="n"/>
      <c r="E168" s="14" t="n"/>
      <c r="F168" s="14" t="n"/>
      <c r="G168" s="14" t="n"/>
      <c r="H168" s="19" t="n">
        <v>-0.06</v>
      </c>
      <c r="I168" s="19">
        <f>I167+G168+H168</f>
        <v/>
      </c>
      <c r="J168" s="14" t="n"/>
      <c r="K168" s="20">
        <f>IF(AND(B168="SELL",E168&gt;0,J168&lt;&gt;""),J168/E168,0)</f>
        <v/>
      </c>
      <c r="L168" s="14" t="n"/>
      <c r="M168" s="18">
        <f>IF(AND(B168="SELL",L168&gt;0),D168*L168,0)</f>
        <v/>
      </c>
      <c r="N168" s="14" t="n"/>
      <c r="O168" s="21">
        <f>IF(AND(B168="SELL",G168&lt;&gt;0),Q168/ABS(G168),0)</f>
        <v/>
      </c>
      <c r="P168" s="21">
        <f>IF(AND(B168="SELL",D168&gt;0),R168/D168,0)</f>
        <v/>
      </c>
      <c r="Q168" s="22">
        <f>IF(AND(B168="SELL",D168&gt;0,E168&gt;0),(D168/E168)+G168,0)</f>
        <v/>
      </c>
      <c r="R168" s="60">
        <f>IF(B168="SELL",Q168*F168,0)</f>
        <v/>
      </c>
      <c r="S168" s="60">
        <f>S167+R168</f>
        <v/>
      </c>
    </row>
    <row r="169" ht="15.75" customHeight="1" s="94">
      <c r="A169" s="25" t="n"/>
      <c r="B169" s="25">
        <f>IF(D169="","",IF(G169&lt;0,"SELL","BUY"))</f>
        <v/>
      </c>
      <c r="C169" s="25" t="n"/>
      <c r="D169" s="25" t="n"/>
      <c r="E169" s="25" t="n"/>
      <c r="F169" s="25" t="n"/>
      <c r="G169" s="25" t="n"/>
      <c r="H169" s="30" t="n">
        <v>-0.06</v>
      </c>
      <c r="I169" s="30">
        <f>I168+G169+H169</f>
        <v/>
      </c>
      <c r="J169" s="25" t="n"/>
      <c r="K169" s="31">
        <f>IF(AND(B169="SELL",E169&gt;0,J169&lt;&gt;""),J169/E169,0)</f>
        <v/>
      </c>
      <c r="L169" s="25" t="n"/>
      <c r="M169" s="29">
        <f>IF(AND(B169="SELL",L169&gt;0),D169*L169,0)</f>
        <v/>
      </c>
      <c r="N169" s="25" t="n"/>
      <c r="O169" s="32">
        <f>IF(AND(B169="SELL",G169&lt;&gt;0),Q169/ABS(G169),0)</f>
        <v/>
      </c>
      <c r="P169" s="32">
        <f>IF(AND(B169="SELL",D169&gt;0),R169/D169,0)</f>
        <v/>
      </c>
      <c r="Q169" s="33">
        <f>IF(AND(B169="SELL",D169&gt;0,E169&gt;0),(D169/E169)+G169,0)</f>
        <v/>
      </c>
      <c r="R169" s="61">
        <f>IF(B169="SELL",Q169*F169,0)</f>
        <v/>
      </c>
      <c r="S169" s="61">
        <f>S168+R169</f>
        <v/>
      </c>
    </row>
    <row r="170" ht="15.75" customHeight="1" s="94">
      <c r="A170" s="14" t="n"/>
      <c r="B170" s="14">
        <f>IF(D170="","",IF(G170&lt;0,"SELL","BUY"))</f>
        <v/>
      </c>
      <c r="C170" s="14" t="n"/>
      <c r="D170" s="14" t="n"/>
      <c r="E170" s="14" t="n"/>
      <c r="F170" s="14" t="n"/>
      <c r="G170" s="14" t="n"/>
      <c r="H170" s="19" t="n">
        <v>-0.06</v>
      </c>
      <c r="I170" s="19">
        <f>I169+G170+H170</f>
        <v/>
      </c>
      <c r="J170" s="14" t="n"/>
      <c r="K170" s="20">
        <f>IF(AND(B170="SELL",E170&gt;0,J170&lt;&gt;""),J170/E170,0)</f>
        <v/>
      </c>
      <c r="L170" s="14" t="n"/>
      <c r="M170" s="18">
        <f>IF(AND(B170="SELL",L170&gt;0),D170*L170,0)</f>
        <v/>
      </c>
      <c r="N170" s="14" t="n"/>
      <c r="O170" s="21">
        <f>IF(AND(B170="SELL",G170&lt;&gt;0),Q170/ABS(G170),0)</f>
        <v/>
      </c>
      <c r="P170" s="21">
        <f>IF(AND(B170="SELL",D170&gt;0),R170/D170,0)</f>
        <v/>
      </c>
      <c r="Q170" s="22">
        <f>IF(AND(B170="SELL",D170&gt;0,E170&gt;0),(D170/E170)+G170,0)</f>
        <v/>
      </c>
      <c r="R170" s="60">
        <f>IF(B170="SELL",Q170*F170,0)</f>
        <v/>
      </c>
      <c r="S170" s="60">
        <f>S169+R170</f>
        <v/>
      </c>
    </row>
    <row r="171" ht="15.75" customHeight="1" s="94">
      <c r="A171" s="25" t="n"/>
      <c r="B171" s="25">
        <f>IF(D171="","",IF(G171&lt;0,"SELL","BUY"))</f>
        <v/>
      </c>
      <c r="C171" s="25" t="n"/>
      <c r="D171" s="25" t="n"/>
      <c r="E171" s="25" t="n"/>
      <c r="F171" s="25" t="n"/>
      <c r="G171" s="25" t="n"/>
      <c r="H171" s="30" t="n">
        <v>-0.06</v>
      </c>
      <c r="I171" s="30">
        <f>I170+G171+H171</f>
        <v/>
      </c>
      <c r="J171" s="25" t="n"/>
      <c r="K171" s="31">
        <f>IF(AND(B171="SELL",E171&gt;0,J171&lt;&gt;""),J171/E171,0)</f>
        <v/>
      </c>
      <c r="L171" s="25" t="n"/>
      <c r="M171" s="29">
        <f>IF(AND(B171="SELL",L171&gt;0),D171*L171,0)</f>
        <v/>
      </c>
      <c r="N171" s="25" t="n"/>
      <c r="O171" s="32">
        <f>IF(AND(B171="SELL",G171&lt;&gt;0),Q171/ABS(G171),0)</f>
        <v/>
      </c>
      <c r="P171" s="32">
        <f>IF(AND(B171="SELL",D171&gt;0),R171/D171,0)</f>
        <v/>
      </c>
      <c r="Q171" s="33">
        <f>IF(AND(B171="SELL",D171&gt;0,E171&gt;0),(D171/E171)+G171,0)</f>
        <v/>
      </c>
      <c r="R171" s="61">
        <f>IF(B171="SELL",Q171*F171,0)</f>
        <v/>
      </c>
      <c r="S171" s="61">
        <f>S170+R171</f>
        <v/>
      </c>
    </row>
    <row r="172" ht="15.75" customHeight="1" s="94">
      <c r="A172" s="14" t="n"/>
      <c r="B172" s="14">
        <f>IF(D172="","",IF(G172&lt;0,"SELL","BUY"))</f>
        <v/>
      </c>
      <c r="C172" s="14" t="n"/>
      <c r="D172" s="14" t="n"/>
      <c r="E172" s="14" t="n"/>
      <c r="F172" s="14" t="n"/>
      <c r="G172" s="14" t="n"/>
      <c r="H172" s="19" t="n">
        <v>-0.06</v>
      </c>
      <c r="I172" s="19">
        <f>I171+G172+H172</f>
        <v/>
      </c>
      <c r="J172" s="14" t="n"/>
      <c r="K172" s="20">
        <f>IF(AND(B172="SELL",E172&gt;0,J172&lt;&gt;""),J172/E172,0)</f>
        <v/>
      </c>
      <c r="L172" s="14" t="n"/>
      <c r="M172" s="18">
        <f>IF(AND(B172="SELL",L172&gt;0),D172*L172,0)</f>
        <v/>
      </c>
      <c r="N172" s="14" t="n"/>
      <c r="O172" s="21">
        <f>IF(AND(B172="SELL",G172&lt;&gt;0),Q172/ABS(G172),0)</f>
        <v/>
      </c>
      <c r="P172" s="21">
        <f>IF(AND(B172="SELL",D172&gt;0),R172/D172,0)</f>
        <v/>
      </c>
      <c r="Q172" s="22">
        <f>IF(AND(B172="SELL",D172&gt;0,E172&gt;0),(D172/E172)+G172,0)</f>
        <v/>
      </c>
      <c r="R172" s="60">
        <f>IF(B172="SELL",Q172*F172,0)</f>
        <v/>
      </c>
      <c r="S172" s="60">
        <f>S171+R172</f>
        <v/>
      </c>
    </row>
    <row r="173" ht="15.75" customHeight="1" s="94">
      <c r="A173" s="25" t="n"/>
      <c r="B173" s="25">
        <f>IF(D173="","",IF(G173&lt;0,"SELL","BUY"))</f>
        <v/>
      </c>
      <c r="C173" s="25" t="n"/>
      <c r="D173" s="25" t="n"/>
      <c r="E173" s="25" t="n"/>
      <c r="F173" s="25" t="n"/>
      <c r="G173" s="25" t="n"/>
      <c r="H173" s="30" t="n">
        <v>-0.06</v>
      </c>
      <c r="I173" s="30">
        <f>I172+G173+H173</f>
        <v/>
      </c>
      <c r="J173" s="25" t="n"/>
      <c r="K173" s="31">
        <f>IF(AND(B173="SELL",E173&gt;0,J173&lt;&gt;""),J173/E173,0)</f>
        <v/>
      </c>
      <c r="L173" s="25" t="n"/>
      <c r="M173" s="29">
        <f>IF(AND(B173="SELL",L173&gt;0),D173*L173,0)</f>
        <v/>
      </c>
      <c r="N173" s="25" t="n"/>
      <c r="O173" s="32">
        <f>IF(AND(B173="SELL",G173&lt;&gt;0),Q173/ABS(G173),0)</f>
        <v/>
      </c>
      <c r="P173" s="32">
        <f>IF(AND(B173="SELL",D173&gt;0),R173/D173,0)</f>
        <v/>
      </c>
      <c r="Q173" s="33">
        <f>IF(AND(B173="SELL",D173&gt;0,E173&gt;0),(D173/E173)+G173,0)</f>
        <v/>
      </c>
      <c r="R173" s="61">
        <f>IF(B173="SELL",Q173*F173,0)</f>
        <v/>
      </c>
      <c r="S173" s="61">
        <f>S172+R173</f>
        <v/>
      </c>
    </row>
    <row r="174" ht="15.75" customHeight="1" s="94">
      <c r="A174" s="14" t="n"/>
      <c r="B174" s="14">
        <f>IF(D174="","",IF(G174&lt;0,"SELL","BUY"))</f>
        <v/>
      </c>
      <c r="C174" s="14" t="n"/>
      <c r="D174" s="14" t="n"/>
      <c r="E174" s="14" t="n"/>
      <c r="F174" s="14" t="n"/>
      <c r="G174" s="14" t="n"/>
      <c r="H174" s="19" t="n">
        <v>-0.06</v>
      </c>
      <c r="I174" s="19">
        <f>I173+G174+H174</f>
        <v/>
      </c>
      <c r="J174" s="14" t="n"/>
      <c r="K174" s="20">
        <f>IF(AND(B174="SELL",E174&gt;0,J174&lt;&gt;""),J174/E174,0)</f>
        <v/>
      </c>
      <c r="L174" s="14" t="n"/>
      <c r="M174" s="18">
        <f>IF(AND(B174="SELL",L174&gt;0),D174*L174,0)</f>
        <v/>
      </c>
      <c r="N174" s="14" t="n"/>
      <c r="O174" s="21">
        <f>IF(AND(B174="SELL",G174&lt;&gt;0),Q174/ABS(G174),0)</f>
        <v/>
      </c>
      <c r="P174" s="21">
        <f>IF(AND(B174="SELL",D174&gt;0),R174/D174,0)</f>
        <v/>
      </c>
      <c r="Q174" s="22">
        <f>IF(AND(B174="SELL",D174&gt;0,E174&gt;0),(D174/E174)+G174,0)</f>
        <v/>
      </c>
      <c r="R174" s="60">
        <f>IF(B174="SELL",Q174*F174,0)</f>
        <v/>
      </c>
      <c r="S174" s="60">
        <f>S173+R174</f>
        <v/>
      </c>
    </row>
    <row r="175" ht="15.75" customHeight="1" s="94">
      <c r="A175" s="25" t="n"/>
      <c r="B175" s="25">
        <f>IF(D175="","",IF(G175&lt;0,"SELL","BUY"))</f>
        <v/>
      </c>
      <c r="C175" s="25" t="n"/>
      <c r="D175" s="25" t="n"/>
      <c r="E175" s="25" t="n"/>
      <c r="F175" s="25" t="n"/>
      <c r="G175" s="25" t="n"/>
      <c r="H175" s="30" t="n">
        <v>-0.06</v>
      </c>
      <c r="I175" s="30">
        <f>I174+G175+H175</f>
        <v/>
      </c>
      <c r="J175" s="25" t="n"/>
      <c r="K175" s="31">
        <f>IF(AND(B175="SELL",E175&gt;0,J175&lt;&gt;""),J175/E175,0)</f>
        <v/>
      </c>
      <c r="L175" s="25" t="n"/>
      <c r="M175" s="29">
        <f>IF(AND(B175="SELL",L175&gt;0),D175*L175,0)</f>
        <v/>
      </c>
      <c r="N175" s="25" t="n"/>
      <c r="O175" s="32">
        <f>IF(AND(B175="SELL",G175&lt;&gt;0),Q175/ABS(G175),0)</f>
        <v/>
      </c>
      <c r="P175" s="32">
        <f>IF(AND(B175="SELL",D175&gt;0),R175/D175,0)</f>
        <v/>
      </c>
      <c r="Q175" s="33">
        <f>IF(AND(B175="SELL",D175&gt;0,E175&gt;0),(D175/E175)+G175,0)</f>
        <v/>
      </c>
      <c r="R175" s="61">
        <f>IF(B175="SELL",Q175*F175,0)</f>
        <v/>
      </c>
      <c r="S175" s="61">
        <f>S174+R175</f>
        <v/>
      </c>
    </row>
    <row r="176" ht="15.75" customHeight="1" s="94">
      <c r="A176" s="14" t="n"/>
      <c r="B176" s="14">
        <f>IF(D176="","",IF(G176&lt;0,"SELL","BUY"))</f>
        <v/>
      </c>
      <c r="C176" s="14" t="n"/>
      <c r="D176" s="14" t="n"/>
      <c r="E176" s="14" t="n"/>
      <c r="F176" s="14" t="n"/>
      <c r="G176" s="14" t="n"/>
      <c r="H176" s="19" t="n">
        <v>-0.06</v>
      </c>
      <c r="I176" s="19">
        <f>I175+G176+H176</f>
        <v/>
      </c>
      <c r="J176" s="14" t="n"/>
      <c r="K176" s="20">
        <f>IF(AND(B176="SELL",E176&gt;0,J176&lt;&gt;""),J176/E176,0)</f>
        <v/>
      </c>
      <c r="L176" s="14" t="n"/>
      <c r="M176" s="18">
        <f>IF(AND(B176="SELL",L176&gt;0),D176*L176,0)</f>
        <v/>
      </c>
      <c r="N176" s="14" t="n"/>
      <c r="O176" s="21">
        <f>IF(AND(B176="SELL",G176&lt;&gt;0),Q176/ABS(G176),0)</f>
        <v/>
      </c>
      <c r="P176" s="21">
        <f>IF(AND(B176="SELL",D176&gt;0),R176/D176,0)</f>
        <v/>
      </c>
      <c r="Q176" s="22">
        <f>IF(AND(B176="SELL",D176&gt;0,E176&gt;0),(D176/E176)+G176,0)</f>
        <v/>
      </c>
      <c r="R176" s="60">
        <f>IF(B176="SELL",Q176*F176,0)</f>
        <v/>
      </c>
      <c r="S176" s="60">
        <f>S175+R176</f>
        <v/>
      </c>
    </row>
    <row r="177" ht="15.75" customHeight="1" s="94">
      <c r="A177" s="25" t="n"/>
      <c r="B177" s="25">
        <f>IF(D177="","",IF(G177&lt;0,"SELL","BUY"))</f>
        <v/>
      </c>
      <c r="C177" s="25" t="n"/>
      <c r="D177" s="25" t="n"/>
      <c r="E177" s="25" t="n"/>
      <c r="F177" s="25" t="n"/>
      <c r="G177" s="25" t="n"/>
      <c r="H177" s="30" t="n">
        <v>-0.06</v>
      </c>
      <c r="I177" s="30">
        <f>I176+G177+H177</f>
        <v/>
      </c>
      <c r="J177" s="25" t="n"/>
      <c r="K177" s="31">
        <f>IF(AND(B177="SELL",E177&gt;0,J177&lt;&gt;""),J177/E177,0)</f>
        <v/>
      </c>
      <c r="L177" s="25" t="n"/>
      <c r="M177" s="29">
        <f>IF(AND(B177="SELL",L177&gt;0),D177*L177,0)</f>
        <v/>
      </c>
      <c r="N177" s="25" t="n"/>
      <c r="O177" s="32">
        <f>IF(AND(B177="SELL",G177&lt;&gt;0),Q177/ABS(G177),0)</f>
        <v/>
      </c>
      <c r="P177" s="32">
        <f>IF(AND(B177="SELL",D177&gt;0),R177/D177,0)</f>
        <v/>
      </c>
      <c r="Q177" s="33">
        <f>IF(AND(B177="SELL",D177&gt;0,E177&gt;0),(D177/E177)+G177,0)</f>
        <v/>
      </c>
      <c r="R177" s="61">
        <f>IF(B177="SELL",Q177*F177,0)</f>
        <v/>
      </c>
      <c r="S177" s="61">
        <f>S176+R177</f>
        <v/>
      </c>
    </row>
    <row r="178" ht="15.75" customHeight="1" s="94">
      <c r="A178" s="14" t="n"/>
      <c r="B178" s="14">
        <f>IF(D178="","",IF(G178&lt;0,"SELL","BUY"))</f>
        <v/>
      </c>
      <c r="C178" s="14" t="n"/>
      <c r="D178" s="14" t="n"/>
      <c r="E178" s="14" t="n"/>
      <c r="F178" s="14" t="n"/>
      <c r="G178" s="14" t="n"/>
      <c r="H178" s="19" t="n">
        <v>-0.06</v>
      </c>
      <c r="I178" s="19">
        <f>I177+G178+H178</f>
        <v/>
      </c>
      <c r="J178" s="14" t="n"/>
      <c r="K178" s="20">
        <f>IF(AND(B178="SELL",E178&gt;0,J178&lt;&gt;""),J178/E178,0)</f>
        <v/>
      </c>
      <c r="L178" s="14" t="n"/>
      <c r="M178" s="18">
        <f>IF(AND(B178="SELL",L178&gt;0),D178*L178,0)</f>
        <v/>
      </c>
      <c r="N178" s="14" t="n"/>
      <c r="O178" s="21">
        <f>IF(AND(B178="SELL",G178&lt;&gt;0),Q178/ABS(G178),0)</f>
        <v/>
      </c>
      <c r="P178" s="21">
        <f>IF(AND(B178="SELL",D178&gt;0),R178/D178,0)</f>
        <v/>
      </c>
      <c r="Q178" s="22">
        <f>IF(AND(B178="SELL",D178&gt;0,E178&gt;0),(D178/E178)+G178,0)</f>
        <v/>
      </c>
      <c r="R178" s="60">
        <f>IF(B178="SELL",Q178*F178,0)</f>
        <v/>
      </c>
      <c r="S178" s="60">
        <f>S177+R178</f>
        <v/>
      </c>
    </row>
    <row r="179" ht="15.75" customHeight="1" s="94">
      <c r="A179" s="25" t="n"/>
      <c r="B179" s="25">
        <f>IF(D179="","",IF(G179&lt;0,"SELL","BUY"))</f>
        <v/>
      </c>
      <c r="C179" s="25" t="n"/>
      <c r="D179" s="25" t="n"/>
      <c r="E179" s="25" t="n"/>
      <c r="F179" s="25" t="n"/>
      <c r="G179" s="25" t="n"/>
      <c r="H179" s="30" t="n">
        <v>-0.06</v>
      </c>
      <c r="I179" s="30">
        <f>I178+G179+H179</f>
        <v/>
      </c>
      <c r="J179" s="25" t="n"/>
      <c r="K179" s="31">
        <f>IF(AND(B179="SELL",E179&gt;0,J179&lt;&gt;""),J179/E179,0)</f>
        <v/>
      </c>
      <c r="L179" s="25" t="n"/>
      <c r="M179" s="29">
        <f>IF(AND(B179="SELL",L179&gt;0),D179*L179,0)</f>
        <v/>
      </c>
      <c r="N179" s="25" t="n"/>
      <c r="O179" s="32">
        <f>IF(AND(B179="SELL",G179&lt;&gt;0),Q179/ABS(G179),0)</f>
        <v/>
      </c>
      <c r="P179" s="32">
        <f>IF(AND(B179="SELL",D179&gt;0),R179/D179,0)</f>
        <v/>
      </c>
      <c r="Q179" s="33">
        <f>IF(AND(B179="SELL",D179&gt;0,E179&gt;0),(D179/E179)+G179,0)</f>
        <v/>
      </c>
      <c r="R179" s="61">
        <f>IF(B179="SELL",Q179*F179,0)</f>
        <v/>
      </c>
      <c r="S179" s="61">
        <f>S178+R179</f>
        <v/>
      </c>
    </row>
    <row r="180" ht="15.75" customHeight="1" s="94">
      <c r="A180" s="14" t="n"/>
      <c r="B180" s="14">
        <f>IF(D180="","",IF(G180&lt;0,"SELL","BUY"))</f>
        <v/>
      </c>
      <c r="C180" s="14" t="n"/>
      <c r="D180" s="14" t="n"/>
      <c r="E180" s="14" t="n"/>
      <c r="F180" s="14" t="n"/>
      <c r="G180" s="14" t="n"/>
      <c r="H180" s="19" t="n">
        <v>-0.06</v>
      </c>
      <c r="I180" s="19">
        <f>I179+G180+H180</f>
        <v/>
      </c>
      <c r="J180" s="14" t="n"/>
      <c r="K180" s="20">
        <f>IF(AND(B180="SELL",E180&gt;0,J180&lt;&gt;""),J180/E180,0)</f>
        <v/>
      </c>
      <c r="L180" s="14" t="n"/>
      <c r="M180" s="18">
        <f>IF(AND(B180="SELL",L180&gt;0),D180*L180,0)</f>
        <v/>
      </c>
      <c r="N180" s="14" t="n"/>
      <c r="O180" s="21">
        <f>IF(AND(B180="SELL",G180&lt;&gt;0),Q180/ABS(G180),0)</f>
        <v/>
      </c>
      <c r="P180" s="21">
        <f>IF(AND(B180="SELL",D180&gt;0),R180/D180,0)</f>
        <v/>
      </c>
      <c r="Q180" s="22">
        <f>IF(AND(B180="SELL",D180&gt;0,E180&gt;0),(D180/E180)+G180,0)</f>
        <v/>
      </c>
      <c r="R180" s="60">
        <f>IF(B180="SELL",Q180*F180,0)</f>
        <v/>
      </c>
      <c r="S180" s="60">
        <f>S179+R180</f>
        <v/>
      </c>
    </row>
    <row r="181" ht="15.75" customHeight="1" s="94">
      <c r="A181" s="25" t="n"/>
      <c r="B181" s="25">
        <f>IF(D181="","",IF(G181&lt;0,"SELL","BUY"))</f>
        <v/>
      </c>
      <c r="C181" s="25" t="n"/>
      <c r="D181" s="25" t="n"/>
      <c r="E181" s="25" t="n"/>
      <c r="F181" s="25" t="n"/>
      <c r="G181" s="25" t="n"/>
      <c r="H181" s="30" t="n">
        <v>-0.06</v>
      </c>
      <c r="I181" s="30">
        <f>I180+G181+H181</f>
        <v/>
      </c>
      <c r="J181" s="25" t="n"/>
      <c r="K181" s="31">
        <f>IF(AND(B181="SELL",E181&gt;0,J181&lt;&gt;""),J181/E181,0)</f>
        <v/>
      </c>
      <c r="L181" s="25" t="n"/>
      <c r="M181" s="29">
        <f>IF(AND(B181="SELL",L181&gt;0),D181*L181,0)</f>
        <v/>
      </c>
      <c r="N181" s="25" t="n"/>
      <c r="O181" s="32">
        <f>IF(AND(B181="SELL",G181&lt;&gt;0),Q181/ABS(G181),0)</f>
        <v/>
      </c>
      <c r="P181" s="32">
        <f>IF(AND(B181="SELL",D181&gt;0),R181/D181,0)</f>
        <v/>
      </c>
      <c r="Q181" s="33">
        <f>IF(AND(B181="SELL",D181&gt;0,E181&gt;0),(D181/E181)+G181,0)</f>
        <v/>
      </c>
      <c r="R181" s="61">
        <f>IF(B181="SELL",Q181*F181,0)</f>
        <v/>
      </c>
      <c r="S181" s="61">
        <f>S180+R181</f>
        <v/>
      </c>
    </row>
    <row r="182" ht="15.75" customHeight="1" s="94">
      <c r="A182" s="14" t="n"/>
      <c r="B182" s="14">
        <f>IF(D182="","",IF(G182&lt;0,"SELL","BUY"))</f>
        <v/>
      </c>
      <c r="C182" s="14" t="n"/>
      <c r="D182" s="14" t="n"/>
      <c r="E182" s="14" t="n"/>
      <c r="F182" s="14" t="n"/>
      <c r="G182" s="14" t="n"/>
      <c r="H182" s="19" t="n">
        <v>-0.06</v>
      </c>
      <c r="I182" s="19">
        <f>I181+G182+H182</f>
        <v/>
      </c>
      <c r="J182" s="14" t="n"/>
      <c r="K182" s="20">
        <f>IF(AND(B182="SELL",E182&gt;0,J182&lt;&gt;""),J182/E182,0)</f>
        <v/>
      </c>
      <c r="L182" s="14" t="n"/>
      <c r="M182" s="18">
        <f>IF(AND(B182="SELL",L182&gt;0),D182*L182,0)</f>
        <v/>
      </c>
      <c r="N182" s="14" t="n"/>
      <c r="O182" s="21">
        <f>IF(AND(B182="SELL",G182&lt;&gt;0),Q182/ABS(G182),0)</f>
        <v/>
      </c>
      <c r="P182" s="21">
        <f>IF(AND(B182="SELL",D182&gt;0),R182/D182,0)</f>
        <v/>
      </c>
      <c r="Q182" s="22">
        <f>IF(AND(B182="SELL",D182&gt;0,E182&gt;0),(D182/E182)+G182,0)</f>
        <v/>
      </c>
      <c r="R182" s="60">
        <f>IF(B182="SELL",Q182*F182,0)</f>
        <v/>
      </c>
      <c r="S182" s="60">
        <f>S181+R182</f>
        <v/>
      </c>
    </row>
    <row r="183" ht="15.75" customHeight="1" s="94">
      <c r="A183" s="25" t="n"/>
      <c r="B183" s="25">
        <f>IF(D183="","",IF(G183&lt;0,"SELL","BUY"))</f>
        <v/>
      </c>
      <c r="C183" s="25" t="n"/>
      <c r="D183" s="25" t="n"/>
      <c r="E183" s="25" t="n"/>
      <c r="F183" s="25" t="n"/>
      <c r="G183" s="25" t="n"/>
      <c r="H183" s="30" t="n">
        <v>-0.06</v>
      </c>
      <c r="I183" s="30">
        <f>I182+G183+H183</f>
        <v/>
      </c>
      <c r="J183" s="25" t="n"/>
      <c r="K183" s="31">
        <f>IF(AND(B183="SELL",E183&gt;0,J183&lt;&gt;""),J183/E183,0)</f>
        <v/>
      </c>
      <c r="L183" s="25" t="n"/>
      <c r="M183" s="29">
        <f>IF(AND(B183="SELL",L183&gt;0),D183*L183,0)</f>
        <v/>
      </c>
      <c r="N183" s="25" t="n"/>
      <c r="O183" s="32">
        <f>IF(AND(B183="SELL",G183&lt;&gt;0),Q183/ABS(G183),0)</f>
        <v/>
      </c>
      <c r="P183" s="32">
        <f>IF(AND(B183="SELL",D183&gt;0),R183/D183,0)</f>
        <v/>
      </c>
      <c r="Q183" s="33">
        <f>IF(AND(B183="SELL",D183&gt;0,E183&gt;0),(D183/E183)+G183,0)</f>
        <v/>
      </c>
      <c r="R183" s="61">
        <f>IF(B183="SELL",Q183*F183,0)</f>
        <v/>
      </c>
      <c r="S183" s="61">
        <f>S182+R183</f>
        <v/>
      </c>
    </row>
    <row r="184" ht="15.75" customHeight="1" s="94">
      <c r="A184" s="14" t="n"/>
      <c r="B184" s="14">
        <f>IF(D184="","",IF(G184&lt;0,"SELL","BUY"))</f>
        <v/>
      </c>
      <c r="C184" s="14" t="n"/>
      <c r="D184" s="14" t="n"/>
      <c r="E184" s="14" t="n"/>
      <c r="F184" s="14" t="n"/>
      <c r="G184" s="14" t="n"/>
      <c r="H184" s="19" t="n">
        <v>-0.06</v>
      </c>
      <c r="I184" s="19">
        <f>I183+G184+H184</f>
        <v/>
      </c>
      <c r="J184" s="14" t="n"/>
      <c r="K184" s="20">
        <f>IF(AND(B184="SELL",E184&gt;0,J184&lt;&gt;""),J184/E184,0)</f>
        <v/>
      </c>
      <c r="L184" s="14" t="n"/>
      <c r="M184" s="18">
        <f>IF(AND(B184="SELL",L184&gt;0),D184*L184,0)</f>
        <v/>
      </c>
      <c r="N184" s="14" t="n"/>
      <c r="O184" s="21">
        <f>IF(AND(B184="SELL",G184&lt;&gt;0),Q184/ABS(G184),0)</f>
        <v/>
      </c>
      <c r="P184" s="21">
        <f>IF(AND(B184="SELL",D184&gt;0),R184/D184,0)</f>
        <v/>
      </c>
      <c r="Q184" s="22">
        <f>IF(AND(B184="SELL",D184&gt;0,E184&gt;0),(D184/E184)+G184,0)</f>
        <v/>
      </c>
      <c r="R184" s="60">
        <f>IF(B184="SELL",Q184*F184,0)</f>
        <v/>
      </c>
      <c r="S184" s="60">
        <f>S183+R184</f>
        <v/>
      </c>
    </row>
    <row r="185" ht="15.75" customHeight="1" s="94">
      <c r="A185" s="25" t="n"/>
      <c r="B185" s="25">
        <f>IF(D185="","",IF(G185&lt;0,"SELL","BUY"))</f>
        <v/>
      </c>
      <c r="C185" s="25" t="n"/>
      <c r="D185" s="25" t="n"/>
      <c r="E185" s="25" t="n"/>
      <c r="F185" s="25" t="n"/>
      <c r="G185" s="25" t="n"/>
      <c r="H185" s="30" t="n">
        <v>-0.06</v>
      </c>
      <c r="I185" s="30">
        <f>I184+G185+H185</f>
        <v/>
      </c>
      <c r="J185" s="25" t="n"/>
      <c r="K185" s="31">
        <f>IF(AND(B185="SELL",E185&gt;0,J185&lt;&gt;""),J185/E185,0)</f>
        <v/>
      </c>
      <c r="L185" s="25" t="n"/>
      <c r="M185" s="29">
        <f>IF(AND(B185="SELL",L185&gt;0),D185*L185,0)</f>
        <v/>
      </c>
      <c r="N185" s="25" t="n"/>
      <c r="O185" s="32">
        <f>IF(AND(B185="SELL",G185&lt;&gt;0),Q185/ABS(G185),0)</f>
        <v/>
      </c>
      <c r="P185" s="32">
        <f>IF(AND(B185="SELL",D185&gt;0),R185/D185,0)</f>
        <v/>
      </c>
      <c r="Q185" s="33">
        <f>IF(AND(B185="SELL",D185&gt;0,E185&gt;0),(D185/E185)+G185,0)</f>
        <v/>
      </c>
      <c r="R185" s="61">
        <f>IF(B185="SELL",Q185*F185,0)</f>
        <v/>
      </c>
      <c r="S185" s="61">
        <f>S184+R185</f>
        <v/>
      </c>
    </row>
    <row r="186" ht="15.75" customHeight="1" s="94">
      <c r="A186" s="14" t="n"/>
      <c r="B186" s="14">
        <f>IF(D186="","",IF(G186&lt;0,"SELL","BUY"))</f>
        <v/>
      </c>
      <c r="C186" s="14" t="n"/>
      <c r="D186" s="14" t="n"/>
      <c r="E186" s="14" t="n"/>
      <c r="F186" s="14" t="n"/>
      <c r="G186" s="14" t="n"/>
      <c r="H186" s="19" t="n">
        <v>-0.06</v>
      </c>
      <c r="I186" s="19">
        <f>I185+G186+H186</f>
        <v/>
      </c>
      <c r="J186" s="14" t="n"/>
      <c r="K186" s="20">
        <f>IF(AND(B186="SELL",E186&gt;0,J186&lt;&gt;""),J186/E186,0)</f>
        <v/>
      </c>
      <c r="L186" s="14" t="n"/>
      <c r="M186" s="18">
        <f>IF(AND(B186="SELL",L186&gt;0),D186*L186,0)</f>
        <v/>
      </c>
      <c r="N186" s="14" t="n"/>
      <c r="O186" s="21">
        <f>IF(AND(B186="SELL",G186&lt;&gt;0),Q186/ABS(G186),0)</f>
        <v/>
      </c>
      <c r="P186" s="21">
        <f>IF(AND(B186="SELL",D186&gt;0),R186/D186,0)</f>
        <v/>
      </c>
      <c r="Q186" s="22">
        <f>IF(AND(B186="SELL",D186&gt;0,E186&gt;0),(D186/E186)+G186,0)</f>
        <v/>
      </c>
      <c r="R186" s="60">
        <f>IF(B186="SELL",Q186*F186,0)</f>
        <v/>
      </c>
      <c r="S186" s="60">
        <f>S185+R186</f>
        <v/>
      </c>
    </row>
    <row r="187" ht="15.75" customHeight="1" s="94">
      <c r="A187" s="25" t="n"/>
      <c r="B187" s="25">
        <f>IF(D187="","",IF(G187&lt;0,"SELL","BUY"))</f>
        <v/>
      </c>
      <c r="C187" s="25" t="n"/>
      <c r="D187" s="25" t="n"/>
      <c r="E187" s="25" t="n"/>
      <c r="F187" s="25" t="n"/>
      <c r="G187" s="25" t="n"/>
      <c r="H187" s="30" t="n">
        <v>-0.06</v>
      </c>
      <c r="I187" s="30">
        <f>I186+G187+H187</f>
        <v/>
      </c>
      <c r="J187" s="25" t="n"/>
      <c r="K187" s="31">
        <f>IF(AND(B187="SELL",E187&gt;0,J187&lt;&gt;""),J187/E187,0)</f>
        <v/>
      </c>
      <c r="L187" s="25" t="n"/>
      <c r="M187" s="29">
        <f>IF(AND(B187="SELL",L187&gt;0),D187*L187,0)</f>
        <v/>
      </c>
      <c r="N187" s="25" t="n"/>
      <c r="O187" s="32">
        <f>IF(AND(B187="SELL",G187&lt;&gt;0),Q187/ABS(G187),0)</f>
        <v/>
      </c>
      <c r="P187" s="32">
        <f>IF(AND(B187="SELL",D187&gt;0),R187/D187,0)</f>
        <v/>
      </c>
      <c r="Q187" s="33">
        <f>IF(AND(B187="SELL",D187&gt;0,E187&gt;0),(D187/E187)+G187,0)</f>
        <v/>
      </c>
      <c r="R187" s="61">
        <f>IF(B187="SELL",Q187*F187,0)</f>
        <v/>
      </c>
      <c r="S187" s="61">
        <f>S186+R187</f>
        <v/>
      </c>
    </row>
    <row r="188" ht="15.75" customHeight="1" s="94">
      <c r="A188" s="14" t="n"/>
      <c r="B188" s="14">
        <f>IF(D188="","",IF(G188&lt;0,"SELL","BUY"))</f>
        <v/>
      </c>
      <c r="C188" s="14" t="n"/>
      <c r="D188" s="14" t="n"/>
      <c r="E188" s="14" t="n"/>
      <c r="F188" s="14" t="n"/>
      <c r="G188" s="14" t="n"/>
      <c r="H188" s="19" t="n">
        <v>-0.06</v>
      </c>
      <c r="I188" s="19">
        <f>I187+G188+H188</f>
        <v/>
      </c>
      <c r="J188" s="14" t="n"/>
      <c r="K188" s="20">
        <f>IF(AND(B188="SELL",E188&gt;0,J188&lt;&gt;""),J188/E188,0)</f>
        <v/>
      </c>
      <c r="L188" s="14" t="n"/>
      <c r="M188" s="18">
        <f>IF(AND(B188="SELL",L188&gt;0),D188*L188,0)</f>
        <v/>
      </c>
      <c r="N188" s="14" t="n"/>
      <c r="O188" s="21">
        <f>IF(AND(B188="SELL",G188&lt;&gt;0),Q188/ABS(G188),0)</f>
        <v/>
      </c>
      <c r="P188" s="21">
        <f>IF(AND(B188="SELL",D188&gt;0),R188/D188,0)</f>
        <v/>
      </c>
      <c r="Q188" s="22">
        <f>IF(AND(B188="SELL",D188&gt;0,E188&gt;0),(D188/E188)+G188,0)</f>
        <v/>
      </c>
      <c r="R188" s="60">
        <f>IF(B188="SELL",Q188*F188,0)</f>
        <v/>
      </c>
      <c r="S188" s="60">
        <f>S187+R188</f>
        <v/>
      </c>
    </row>
    <row r="189" ht="15.75" customHeight="1" s="94">
      <c r="A189" s="25" t="n"/>
      <c r="B189" s="25">
        <f>IF(D189="","",IF(G189&lt;0,"SELL","BUY"))</f>
        <v/>
      </c>
      <c r="C189" s="25" t="n"/>
      <c r="D189" s="25" t="n"/>
      <c r="E189" s="25" t="n"/>
      <c r="F189" s="25" t="n"/>
      <c r="G189" s="25" t="n"/>
      <c r="H189" s="30" t="n">
        <v>-0.06</v>
      </c>
      <c r="I189" s="30">
        <f>I188+G189+H189</f>
        <v/>
      </c>
      <c r="J189" s="25" t="n"/>
      <c r="K189" s="31">
        <f>IF(AND(B189="SELL",E189&gt;0,J189&lt;&gt;""),J189/E189,0)</f>
        <v/>
      </c>
      <c r="L189" s="25" t="n"/>
      <c r="M189" s="29">
        <f>IF(AND(B189="SELL",L189&gt;0),D189*L189,0)</f>
        <v/>
      </c>
      <c r="N189" s="25" t="n"/>
      <c r="O189" s="32">
        <f>IF(AND(B189="SELL",G189&lt;&gt;0),Q189/ABS(G189),0)</f>
        <v/>
      </c>
      <c r="P189" s="32">
        <f>IF(AND(B189="SELL",D189&gt;0),R189/D189,0)</f>
        <v/>
      </c>
      <c r="Q189" s="33">
        <f>IF(AND(B189="SELL",D189&gt;0,E189&gt;0),(D189/E189)+G189,0)</f>
        <v/>
      </c>
      <c r="R189" s="61">
        <f>IF(B189="SELL",Q189*F189,0)</f>
        <v/>
      </c>
      <c r="S189" s="61">
        <f>S188+R189</f>
        <v/>
      </c>
    </row>
    <row r="190" ht="15.75" customHeight="1" s="94">
      <c r="A190" s="14" t="n"/>
      <c r="B190" s="14">
        <f>IF(D190="","",IF(G190&lt;0,"SELL","BUY"))</f>
        <v/>
      </c>
      <c r="C190" s="14" t="n"/>
      <c r="D190" s="14" t="n"/>
      <c r="E190" s="14" t="n"/>
      <c r="F190" s="14" t="n"/>
      <c r="G190" s="14" t="n"/>
      <c r="H190" s="19" t="n">
        <v>-0.06</v>
      </c>
      <c r="I190" s="19">
        <f>I189+G190+H190</f>
        <v/>
      </c>
      <c r="J190" s="14" t="n"/>
      <c r="K190" s="20">
        <f>IF(AND(B190="SELL",E190&gt;0,J190&lt;&gt;""),J190/E190,0)</f>
        <v/>
      </c>
      <c r="L190" s="14" t="n"/>
      <c r="M190" s="18">
        <f>IF(AND(B190="SELL",L190&gt;0),D190*L190,0)</f>
        <v/>
      </c>
      <c r="N190" s="14" t="n"/>
      <c r="O190" s="21">
        <f>IF(AND(B190="SELL",G190&lt;&gt;0),Q190/ABS(G190),0)</f>
        <v/>
      </c>
      <c r="P190" s="21">
        <f>IF(AND(B190="SELL",D190&gt;0),R190/D190,0)</f>
        <v/>
      </c>
      <c r="Q190" s="22">
        <f>IF(AND(B190="SELL",D190&gt;0,E190&gt;0),(D190/E190)+G190,0)</f>
        <v/>
      </c>
      <c r="R190" s="60">
        <f>IF(B190="SELL",Q190*F190,0)</f>
        <v/>
      </c>
      <c r="S190" s="60">
        <f>S189+R190</f>
        <v/>
      </c>
    </row>
    <row r="191" ht="15.75" customHeight="1" s="94">
      <c r="A191" s="25" t="n"/>
      <c r="B191" s="25">
        <f>IF(D191="","",IF(G191&lt;0,"SELL","BUY"))</f>
        <v/>
      </c>
      <c r="C191" s="25" t="n"/>
      <c r="D191" s="25" t="n"/>
      <c r="E191" s="25" t="n"/>
      <c r="F191" s="25" t="n"/>
      <c r="G191" s="25" t="n"/>
      <c r="H191" s="30" t="n">
        <v>-0.06</v>
      </c>
      <c r="I191" s="30">
        <f>I190+G191+H191</f>
        <v/>
      </c>
      <c r="J191" s="25" t="n"/>
      <c r="K191" s="31">
        <f>IF(AND(B191="SELL",E191&gt;0,J191&lt;&gt;""),J191/E191,0)</f>
        <v/>
      </c>
      <c r="L191" s="25" t="n"/>
      <c r="M191" s="29">
        <f>IF(AND(B191="SELL",L191&gt;0),D191*L191,0)</f>
        <v/>
      </c>
      <c r="N191" s="25" t="n"/>
      <c r="O191" s="32">
        <f>IF(AND(B191="SELL",G191&lt;&gt;0),Q191/ABS(G191),0)</f>
        <v/>
      </c>
      <c r="P191" s="32">
        <f>IF(AND(B191="SELL",D191&gt;0),R191/D191,0)</f>
        <v/>
      </c>
      <c r="Q191" s="33">
        <f>IF(AND(B191="SELL",D191&gt;0,E191&gt;0),(D191/E191)+G191,0)</f>
        <v/>
      </c>
      <c r="R191" s="61">
        <f>IF(B191="SELL",Q191*F191,0)</f>
        <v/>
      </c>
      <c r="S191" s="61">
        <f>S190+R191</f>
        <v/>
      </c>
    </row>
    <row r="192" ht="15.75" customHeight="1" s="94">
      <c r="A192" s="14" t="n"/>
      <c r="B192" s="14">
        <f>IF(D192="","",IF(G192&lt;0,"SELL","BUY"))</f>
        <v/>
      </c>
      <c r="C192" s="14" t="n"/>
      <c r="D192" s="14" t="n"/>
      <c r="E192" s="14" t="n"/>
      <c r="F192" s="14" t="n"/>
      <c r="G192" s="14" t="n"/>
      <c r="H192" s="19" t="n">
        <v>-0.06</v>
      </c>
      <c r="I192" s="19">
        <f>I191+G192+H192</f>
        <v/>
      </c>
      <c r="J192" s="14" t="n"/>
      <c r="K192" s="20">
        <f>IF(AND(B192="SELL",E192&gt;0,J192&lt;&gt;""),J192/E192,0)</f>
        <v/>
      </c>
      <c r="L192" s="14" t="n"/>
      <c r="M192" s="18">
        <f>IF(AND(B192="SELL",L192&gt;0),D192*L192,0)</f>
        <v/>
      </c>
      <c r="N192" s="14" t="n"/>
      <c r="O192" s="21">
        <f>IF(AND(B192="SELL",G192&lt;&gt;0),Q192/ABS(G192),0)</f>
        <v/>
      </c>
      <c r="P192" s="21">
        <f>IF(AND(B192="SELL",D192&gt;0),R192/D192,0)</f>
        <v/>
      </c>
      <c r="Q192" s="22">
        <f>IF(AND(B192="SELL",D192&gt;0,E192&gt;0),(D192/E192)+G192,0)</f>
        <v/>
      </c>
      <c r="R192" s="60">
        <f>IF(B192="SELL",Q192*F192,0)</f>
        <v/>
      </c>
      <c r="S192" s="60">
        <f>S191+R192</f>
        <v/>
      </c>
    </row>
    <row r="193" ht="15.75" customHeight="1" s="94">
      <c r="A193" s="25" t="n"/>
      <c r="B193" s="25">
        <f>IF(D193="","",IF(G193&lt;0,"SELL","BUY"))</f>
        <v/>
      </c>
      <c r="C193" s="25" t="n"/>
      <c r="D193" s="25" t="n"/>
      <c r="E193" s="25" t="n"/>
      <c r="F193" s="25" t="n"/>
      <c r="G193" s="25" t="n"/>
      <c r="H193" s="30" t="n">
        <v>-0.06</v>
      </c>
      <c r="I193" s="30">
        <f>I192+G193+H193</f>
        <v/>
      </c>
      <c r="J193" s="25" t="n"/>
      <c r="K193" s="31">
        <f>IF(AND(B193="SELL",E193&gt;0,J193&lt;&gt;""),J193/E193,0)</f>
        <v/>
      </c>
      <c r="L193" s="25" t="n"/>
      <c r="M193" s="29">
        <f>IF(AND(B193="SELL",L193&gt;0),D193*L193,0)</f>
        <v/>
      </c>
      <c r="N193" s="25" t="n"/>
      <c r="O193" s="32">
        <f>IF(AND(B193="SELL",G193&lt;&gt;0),Q193/ABS(G193),0)</f>
        <v/>
      </c>
      <c r="P193" s="32">
        <f>IF(AND(B193="SELL",D193&gt;0),R193/D193,0)</f>
        <v/>
      </c>
      <c r="Q193" s="33">
        <f>IF(AND(B193="SELL",D193&gt;0,E193&gt;0),(D193/E193)+G193,0)</f>
        <v/>
      </c>
      <c r="R193" s="61">
        <f>IF(B193="SELL",Q193*F193,0)</f>
        <v/>
      </c>
      <c r="S193" s="61">
        <f>S192+R193</f>
        <v/>
      </c>
    </row>
    <row r="194" ht="15.75" customHeight="1" s="94">
      <c r="A194" s="14" t="n"/>
      <c r="B194" s="14">
        <f>IF(D194="","",IF(G194&lt;0,"SELL","BUY"))</f>
        <v/>
      </c>
      <c r="C194" s="14" t="n"/>
      <c r="D194" s="14" t="n"/>
      <c r="E194" s="14" t="n"/>
      <c r="F194" s="14" t="n"/>
      <c r="G194" s="14" t="n"/>
      <c r="H194" s="19" t="n">
        <v>-0.06</v>
      </c>
      <c r="I194" s="19">
        <f>I193+G194+H194</f>
        <v/>
      </c>
      <c r="J194" s="14" t="n"/>
      <c r="K194" s="20">
        <f>IF(AND(B194="SELL",E194&gt;0,J194&lt;&gt;""),J194/E194,0)</f>
        <v/>
      </c>
      <c r="L194" s="14" t="n"/>
      <c r="M194" s="18">
        <f>IF(AND(B194="SELL",L194&gt;0),D194*L194,0)</f>
        <v/>
      </c>
      <c r="N194" s="14" t="n"/>
      <c r="O194" s="21">
        <f>IF(AND(B194="SELL",G194&lt;&gt;0),Q194/ABS(G194),0)</f>
        <v/>
      </c>
      <c r="P194" s="21">
        <f>IF(AND(B194="SELL",D194&gt;0),R194/D194,0)</f>
        <v/>
      </c>
      <c r="Q194" s="22">
        <f>IF(AND(B194="SELL",D194&gt;0,E194&gt;0),(D194/E194)+G194,0)</f>
        <v/>
      </c>
      <c r="R194" s="60">
        <f>IF(B194="SELL",Q194*F194,0)</f>
        <v/>
      </c>
      <c r="S194" s="60">
        <f>S193+R194</f>
        <v/>
      </c>
    </row>
    <row r="195" ht="15.75" customHeight="1" s="94">
      <c r="A195" s="25" t="n"/>
      <c r="B195" s="25">
        <f>IF(D195="","",IF(G195&lt;0,"SELL","BUY"))</f>
        <v/>
      </c>
      <c r="C195" s="25" t="n"/>
      <c r="D195" s="25" t="n"/>
      <c r="E195" s="25" t="n"/>
      <c r="F195" s="25" t="n"/>
      <c r="G195" s="25" t="n"/>
      <c r="H195" s="30" t="n">
        <v>-0.06</v>
      </c>
      <c r="I195" s="30">
        <f>I194+G195+H195</f>
        <v/>
      </c>
      <c r="J195" s="25" t="n"/>
      <c r="K195" s="31">
        <f>IF(AND(B195="SELL",E195&gt;0,J195&lt;&gt;""),J195/E195,0)</f>
        <v/>
      </c>
      <c r="L195" s="25" t="n"/>
      <c r="M195" s="29">
        <f>IF(AND(B195="SELL",L195&gt;0),D195*L195,0)</f>
        <v/>
      </c>
      <c r="N195" s="25" t="n"/>
      <c r="O195" s="32">
        <f>IF(AND(B195="SELL",G195&lt;&gt;0),Q195/ABS(G195),0)</f>
        <v/>
      </c>
      <c r="P195" s="32">
        <f>IF(AND(B195="SELL",D195&gt;0),R195/D195,0)</f>
        <v/>
      </c>
      <c r="Q195" s="33">
        <f>IF(AND(B195="SELL",D195&gt;0,E195&gt;0),(D195/E195)+G195,0)</f>
        <v/>
      </c>
      <c r="R195" s="61">
        <f>IF(B195="SELL",Q195*F195,0)</f>
        <v/>
      </c>
      <c r="S195" s="61">
        <f>S194+R195</f>
        <v/>
      </c>
    </row>
    <row r="196" ht="15.75" customHeight="1" s="94">
      <c r="A196" s="14" t="n"/>
      <c r="B196" s="14">
        <f>IF(D196="","",IF(G196&lt;0,"SELL","BUY"))</f>
        <v/>
      </c>
      <c r="C196" s="14" t="n"/>
      <c r="D196" s="14" t="n"/>
      <c r="E196" s="14" t="n"/>
      <c r="F196" s="14" t="n"/>
      <c r="G196" s="14" t="n"/>
      <c r="H196" s="19" t="n">
        <v>-0.06</v>
      </c>
      <c r="I196" s="19">
        <f>I195+G196+H196</f>
        <v/>
      </c>
      <c r="J196" s="14" t="n"/>
      <c r="K196" s="20">
        <f>IF(AND(B196="SELL",E196&gt;0,J196&lt;&gt;""),J196/E196,0)</f>
        <v/>
      </c>
      <c r="L196" s="14" t="n"/>
      <c r="M196" s="18">
        <f>IF(AND(B196="SELL",L196&gt;0),D196*L196,0)</f>
        <v/>
      </c>
      <c r="N196" s="14" t="n"/>
      <c r="O196" s="21">
        <f>IF(AND(B196="SELL",G196&lt;&gt;0),Q196/ABS(G196),0)</f>
        <v/>
      </c>
      <c r="P196" s="21">
        <f>IF(AND(B196="SELL",D196&gt;0),R196/D196,0)</f>
        <v/>
      </c>
      <c r="Q196" s="22">
        <f>IF(AND(B196="SELL",D196&gt;0,E196&gt;0),(D196/E196)+G196,0)</f>
        <v/>
      </c>
      <c r="R196" s="60">
        <f>IF(B196="SELL",Q196*F196,0)</f>
        <v/>
      </c>
      <c r="S196" s="60">
        <f>S195+R196</f>
        <v/>
      </c>
    </row>
    <row r="197" ht="15.75" customHeight="1" s="94">
      <c r="A197" s="25" t="n"/>
      <c r="B197" s="25">
        <f>IF(D197="","",IF(G197&lt;0,"SELL","BUY"))</f>
        <v/>
      </c>
      <c r="C197" s="25" t="n"/>
      <c r="D197" s="25" t="n"/>
      <c r="E197" s="25" t="n"/>
      <c r="F197" s="25" t="n"/>
      <c r="G197" s="25" t="n"/>
      <c r="H197" s="30" t="n">
        <v>-0.06</v>
      </c>
      <c r="I197" s="30">
        <f>I196+G197+H197</f>
        <v/>
      </c>
      <c r="J197" s="25" t="n"/>
      <c r="K197" s="31">
        <f>IF(AND(B197="SELL",E197&gt;0,J197&lt;&gt;""),J197/E197,0)</f>
        <v/>
      </c>
      <c r="L197" s="25" t="n"/>
      <c r="M197" s="29">
        <f>IF(AND(B197="SELL",L197&gt;0),D197*L197,0)</f>
        <v/>
      </c>
      <c r="N197" s="25" t="n"/>
      <c r="O197" s="32">
        <f>IF(AND(B197="SELL",G197&lt;&gt;0),Q197/ABS(G197),0)</f>
        <v/>
      </c>
      <c r="P197" s="32">
        <f>IF(AND(B197="SELL",D197&gt;0),R197/D197,0)</f>
        <v/>
      </c>
      <c r="Q197" s="33">
        <f>IF(AND(B197="SELL",D197&gt;0,E197&gt;0),(D197/E197)+G197,0)</f>
        <v/>
      </c>
      <c r="R197" s="61">
        <f>IF(B197="SELL",Q197*F197,0)</f>
        <v/>
      </c>
      <c r="S197" s="61">
        <f>S196+R197</f>
        <v/>
      </c>
    </row>
    <row r="198" ht="15.75" customHeight="1" s="94">
      <c r="A198" s="14" t="n"/>
      <c r="B198" s="14">
        <f>IF(D198="","",IF(G198&lt;0,"SELL","BUY"))</f>
        <v/>
      </c>
      <c r="C198" s="14" t="n"/>
      <c r="D198" s="14" t="n"/>
      <c r="E198" s="14" t="n"/>
      <c r="F198" s="14" t="n"/>
      <c r="G198" s="14" t="n"/>
      <c r="H198" s="19" t="n">
        <v>-0.06</v>
      </c>
      <c r="I198" s="19">
        <f>I197+G198+H198</f>
        <v/>
      </c>
      <c r="J198" s="14" t="n"/>
      <c r="K198" s="20">
        <f>IF(AND(B198="SELL",E198&gt;0,J198&lt;&gt;""),J198/E198,0)</f>
        <v/>
      </c>
      <c r="L198" s="14" t="n"/>
      <c r="M198" s="18">
        <f>IF(AND(B198="SELL",L198&gt;0),D198*L198,0)</f>
        <v/>
      </c>
      <c r="N198" s="14" t="n"/>
      <c r="O198" s="21">
        <f>IF(AND(B198="SELL",G198&lt;&gt;0),Q198/ABS(G198),0)</f>
        <v/>
      </c>
      <c r="P198" s="21">
        <f>IF(AND(B198="SELL",D198&gt;0),R198/D198,0)</f>
        <v/>
      </c>
      <c r="Q198" s="22">
        <f>IF(AND(B198="SELL",D198&gt;0,E198&gt;0),(D198/E198)+G198,0)</f>
        <v/>
      </c>
      <c r="R198" s="60">
        <f>IF(B198="SELL",Q198*F198,0)</f>
        <v/>
      </c>
      <c r="S198" s="60">
        <f>S197+R198</f>
        <v/>
      </c>
    </row>
    <row r="199" ht="15.75" customHeight="1" s="94">
      <c r="A199" s="25" t="n"/>
      <c r="B199" s="25">
        <f>IF(D199="","",IF(G199&lt;0,"SELL","BUY"))</f>
        <v/>
      </c>
      <c r="C199" s="25" t="n"/>
      <c r="D199" s="25" t="n"/>
      <c r="E199" s="25" t="n"/>
      <c r="F199" s="25" t="n"/>
      <c r="G199" s="25" t="n"/>
      <c r="H199" s="30" t="n">
        <v>-0.06</v>
      </c>
      <c r="I199" s="30">
        <f>I198+G199+H199</f>
        <v/>
      </c>
      <c r="J199" s="25" t="n"/>
      <c r="K199" s="31">
        <f>IF(AND(B199="SELL",E199&gt;0,J199&lt;&gt;""),J199/E199,0)</f>
        <v/>
      </c>
      <c r="L199" s="25" t="n"/>
      <c r="M199" s="29">
        <f>IF(AND(B199="SELL",L199&gt;0),D199*L199,0)</f>
        <v/>
      </c>
      <c r="N199" s="25" t="n"/>
      <c r="O199" s="32">
        <f>IF(AND(B199="SELL",G199&lt;&gt;0),Q199/ABS(G199),0)</f>
        <v/>
      </c>
      <c r="P199" s="32">
        <f>IF(AND(B199="SELL",D199&gt;0),R199/D199,0)</f>
        <v/>
      </c>
      <c r="Q199" s="33">
        <f>IF(AND(B199="SELL",D199&gt;0,E199&gt;0),(D199/E199)+G199,0)</f>
        <v/>
      </c>
      <c r="R199" s="61">
        <f>IF(B199="SELL",Q199*F199,0)</f>
        <v/>
      </c>
      <c r="S199" s="61">
        <f>S198+R199</f>
        <v/>
      </c>
    </row>
    <row r="200" ht="15.75" customHeight="1" s="94">
      <c r="A200" s="14" t="n"/>
      <c r="B200" s="14">
        <f>IF(D200="","",IF(G200&lt;0,"SELL","BUY"))</f>
        <v/>
      </c>
      <c r="C200" s="14" t="n"/>
      <c r="D200" s="14" t="n"/>
      <c r="E200" s="14" t="n"/>
      <c r="F200" s="14" t="n"/>
      <c r="G200" s="14" t="n"/>
      <c r="H200" s="19" t="n">
        <v>-0.06</v>
      </c>
      <c r="I200" s="19">
        <f>I199+G200+H200</f>
        <v/>
      </c>
      <c r="J200" s="14" t="n"/>
      <c r="K200" s="20">
        <f>IF(AND(B200="SELL",E200&gt;0,J200&lt;&gt;""),J200/E200,0)</f>
        <v/>
      </c>
      <c r="L200" s="14" t="n"/>
      <c r="M200" s="18">
        <f>IF(AND(B200="SELL",L200&gt;0),D200*L200,0)</f>
        <v/>
      </c>
      <c r="N200" s="14" t="n"/>
      <c r="O200" s="21">
        <f>IF(AND(B200="SELL",G200&lt;&gt;0),Q200/ABS(G200),0)</f>
        <v/>
      </c>
      <c r="P200" s="21">
        <f>IF(AND(B200="SELL",D200&gt;0),R200/D200,0)</f>
        <v/>
      </c>
      <c r="Q200" s="22">
        <f>IF(AND(B200="SELL",D200&gt;0,E200&gt;0),(D200/E200)+G200,0)</f>
        <v/>
      </c>
      <c r="R200" s="60">
        <f>IF(B200="SELL",Q200*F200,0)</f>
        <v/>
      </c>
      <c r="S200" s="60">
        <f>S199+R200</f>
        <v/>
      </c>
    </row>
    <row r="201" ht="15.75" customHeight="1" s="94">
      <c r="A201" s="25" t="n"/>
      <c r="B201" s="25">
        <f>IF(D201="","",IF(G201&lt;0,"SELL","BUY"))</f>
        <v/>
      </c>
      <c r="C201" s="25" t="n"/>
      <c r="D201" s="25" t="n"/>
      <c r="E201" s="25" t="n"/>
      <c r="F201" s="25" t="n"/>
      <c r="G201" s="25" t="n"/>
      <c r="H201" s="30" t="n">
        <v>-0.06</v>
      </c>
      <c r="I201" s="30">
        <f>I200+G201+H201</f>
        <v/>
      </c>
      <c r="J201" s="25" t="n"/>
      <c r="K201" s="31">
        <f>IF(AND(B201="SELL",E201&gt;0,J201&lt;&gt;""),J201/E201,0)</f>
        <v/>
      </c>
      <c r="L201" s="25" t="n"/>
      <c r="M201" s="29">
        <f>IF(AND(B201="SELL",L201&gt;0),D201*L201,0)</f>
        <v/>
      </c>
      <c r="N201" s="25" t="n"/>
      <c r="O201" s="32">
        <f>IF(AND(B201="SELL",G201&lt;&gt;0),Q201/ABS(G201),0)</f>
        <v/>
      </c>
      <c r="P201" s="32">
        <f>IF(AND(B201="SELL",D201&gt;0),R201/D201,0)</f>
        <v/>
      </c>
      <c r="Q201" s="33">
        <f>IF(AND(B201="SELL",D201&gt;0,E201&gt;0),(D201/E201)+G201,0)</f>
        <v/>
      </c>
      <c r="R201" s="61">
        <f>IF(B201="SELL",Q201*F201,0)</f>
        <v/>
      </c>
      <c r="S201" s="61">
        <f>S200+R201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0"/>
  <sheetViews>
    <sheetView showGridLines="0" zoomScaleNormal="100" workbookViewId="0">
      <pane ySplit="2" topLeftCell="A3" activePane="bottomLeft" state="frozen"/>
      <selection pane="bottomLeft" activeCell="A1" sqref="A1"/>
    </sheetView>
  </sheetViews>
  <sheetFormatPr baseColWidth="10" defaultColWidth="8.6640625" defaultRowHeight="14.25"/>
  <cols>
    <col width="11" customWidth="1" style="94" min="1" max="2"/>
    <col width="18" customWidth="1" style="94" min="3" max="3"/>
    <col width="26" customWidth="1" style="94" min="4" max="4"/>
    <col width="16" customWidth="1" style="94" min="5" max="5"/>
    <col width="14" customWidth="1" style="94" min="6" max="6"/>
  </cols>
  <sheetData>
    <row r="1" ht="24" customHeight="1" s="94">
      <c r="A1" s="96" t="inlineStr">
        <is>
          <t>💰 GASTOS OPERATIVOS — IREMI REMESAS</t>
        </is>
      </c>
    </row>
    <row r="2" ht="19.5" customHeight="1" s="94">
      <c r="A2" s="62" t="inlineStr">
        <is>
          <t>Fecha</t>
        </is>
      </c>
      <c r="B2" s="62" t="inlineStr">
        <is>
          <t>Mes</t>
        </is>
      </c>
      <c r="C2" s="62" t="inlineStr">
        <is>
          <t>Categoría</t>
        </is>
      </c>
      <c r="D2" s="62" t="inlineStr">
        <is>
          <t>Descripción</t>
        </is>
      </c>
      <c r="E2" s="62" t="inlineStr">
        <is>
          <t>Monto CLP</t>
        </is>
      </c>
      <c r="F2" s="62" t="inlineStr">
        <is>
          <t>Estado</t>
        </is>
      </c>
    </row>
    <row r="3" ht="15" customHeight="1" s="94">
      <c r="A3" s="27" t="n">
        <v>45900</v>
      </c>
      <c r="B3" s="25" t="inlineStr">
        <is>
          <t>Ago-25</t>
        </is>
      </c>
      <c r="C3" s="25" t="inlineStr">
        <is>
          <t>Contador</t>
        </is>
      </c>
      <c r="D3" s="25" t="inlineStr">
        <is>
          <t>Honorario contador mensual</t>
        </is>
      </c>
      <c r="E3" s="63" t="n">
        <v>40000</v>
      </c>
      <c r="F3" s="25" t="inlineStr">
        <is>
          <t>✓ Pagado</t>
        </is>
      </c>
    </row>
    <row r="4" ht="15" customHeight="1" s="94">
      <c r="A4" s="16" t="n">
        <v>45900</v>
      </c>
      <c r="B4" s="14" t="inlineStr">
        <is>
          <t>Ago-25</t>
        </is>
      </c>
      <c r="C4" s="14" t="inlineStr">
        <is>
          <t>IVA SII</t>
        </is>
      </c>
      <c r="D4" s="14" t="inlineStr">
        <is>
          <t>IVA 19% sobre gan. bruta</t>
        </is>
      </c>
      <c r="E4" s="64" t="n">
        <v>25916</v>
      </c>
      <c r="F4" s="14" t="inlineStr">
        <is>
          <t>✓ Pagado</t>
        </is>
      </c>
    </row>
    <row r="5" ht="15" customHeight="1" s="94">
      <c r="A5" s="27" t="n">
        <v>45930</v>
      </c>
      <c r="B5" s="25" t="inlineStr">
        <is>
          <t>Sep-25</t>
        </is>
      </c>
      <c r="C5" s="25" t="inlineStr">
        <is>
          <t>Contador</t>
        </is>
      </c>
      <c r="D5" s="25" t="inlineStr">
        <is>
          <t>Honorario contador mensual</t>
        </is>
      </c>
      <c r="E5" s="63" t="n">
        <v>40000</v>
      </c>
      <c r="F5" s="25" t="inlineStr">
        <is>
          <t>✓ Pagado</t>
        </is>
      </c>
    </row>
    <row r="6" ht="15" customHeight="1" s="94">
      <c r="A6" s="16" t="n">
        <v>45930</v>
      </c>
      <c r="B6" s="14" t="inlineStr">
        <is>
          <t>Sep-25</t>
        </is>
      </c>
      <c r="C6" s="14" t="inlineStr">
        <is>
          <t>IVA SII</t>
        </is>
      </c>
      <c r="D6" s="14" t="inlineStr">
        <is>
          <t>IVA 19% sobre gan. bruta</t>
        </is>
      </c>
      <c r="E6" s="64" t="n">
        <v>61258</v>
      </c>
      <c r="F6" s="14" t="inlineStr">
        <is>
          <t>✓ Pagado</t>
        </is>
      </c>
    </row>
    <row r="7" ht="15" customHeight="1" s="94">
      <c r="A7" s="27" t="n">
        <v>45961</v>
      </c>
      <c r="B7" s="25" t="inlineStr">
        <is>
          <t>Oct-25</t>
        </is>
      </c>
      <c r="C7" s="25" t="inlineStr">
        <is>
          <t>Contador</t>
        </is>
      </c>
      <c r="D7" s="25" t="inlineStr">
        <is>
          <t>Honorario contador mensual</t>
        </is>
      </c>
      <c r="E7" s="63" t="n">
        <v>40000</v>
      </c>
      <c r="F7" s="25" t="inlineStr">
        <is>
          <t>✓ Pagado</t>
        </is>
      </c>
    </row>
    <row r="8" ht="15" customHeight="1" s="94">
      <c r="A8" s="16" t="n">
        <v>45961</v>
      </c>
      <c r="B8" s="14" t="inlineStr">
        <is>
          <t>Oct-25</t>
        </is>
      </c>
      <c r="C8" s="14" t="inlineStr">
        <is>
          <t>IVA SII</t>
        </is>
      </c>
      <c r="D8" s="14" t="inlineStr">
        <is>
          <t>IVA 19% sobre gan. bruta</t>
        </is>
      </c>
      <c r="E8" s="64" t="n">
        <v>73228</v>
      </c>
      <c r="F8" s="14" t="inlineStr">
        <is>
          <t>✓ Pagado</t>
        </is>
      </c>
    </row>
    <row r="9" ht="15" customHeight="1" s="94">
      <c r="A9" s="27" t="n">
        <v>45991</v>
      </c>
      <c r="B9" s="25" t="inlineStr">
        <is>
          <t>Nov-25</t>
        </is>
      </c>
      <c r="C9" s="25" t="inlineStr">
        <is>
          <t>Contador</t>
        </is>
      </c>
      <c r="D9" s="25" t="inlineStr">
        <is>
          <t>Honorario contador mensual</t>
        </is>
      </c>
      <c r="E9" s="63" t="n">
        <v>40000</v>
      </c>
      <c r="F9" s="25" t="inlineStr">
        <is>
          <t>✓ Pagado</t>
        </is>
      </c>
    </row>
    <row r="10" ht="15" customHeight="1" s="94">
      <c r="A10" s="16" t="n">
        <v>45991</v>
      </c>
      <c r="B10" s="14" t="inlineStr">
        <is>
          <t>Nov-25</t>
        </is>
      </c>
      <c r="C10" s="14" t="inlineStr">
        <is>
          <t>IVA SII</t>
        </is>
      </c>
      <c r="D10" s="14" t="inlineStr">
        <is>
          <t>IVA 19% sobre gan. bruta</t>
        </is>
      </c>
      <c r="E10" s="64" t="n">
        <v>63765</v>
      </c>
      <c r="F10" s="14" t="inlineStr">
        <is>
          <t>✓ Pagado</t>
        </is>
      </c>
    </row>
    <row r="11" ht="15" customHeight="1" s="94">
      <c r="A11" s="27" t="n">
        <v>46022</v>
      </c>
      <c r="B11" s="25" t="inlineStr">
        <is>
          <t>Dic-25</t>
        </is>
      </c>
      <c r="C11" s="25" t="inlineStr">
        <is>
          <t>Contador</t>
        </is>
      </c>
      <c r="D11" s="25" t="inlineStr">
        <is>
          <t>Honorario contador mensual</t>
        </is>
      </c>
      <c r="E11" s="63" t="n">
        <v>40000</v>
      </c>
      <c r="F11" s="25" t="inlineStr">
        <is>
          <t>✓ Pagado</t>
        </is>
      </c>
    </row>
    <row r="12" ht="15" customHeight="1" s="94">
      <c r="A12" s="16" t="n">
        <v>46022</v>
      </c>
      <c r="B12" s="14" t="inlineStr">
        <is>
          <t>Dic-25</t>
        </is>
      </c>
      <c r="C12" s="14" t="inlineStr">
        <is>
          <t>IVA SII</t>
        </is>
      </c>
      <c r="D12" s="14" t="inlineStr">
        <is>
          <t>IVA 19% sobre gan. bruta</t>
        </is>
      </c>
      <c r="E12" s="64" t="n">
        <v>130123</v>
      </c>
      <c r="F12" s="14" t="inlineStr">
        <is>
          <t>✓ Pagado</t>
        </is>
      </c>
    </row>
    <row r="13" ht="15" customHeight="1" s="94">
      <c r="A13" s="27" t="n">
        <v>46053</v>
      </c>
      <c r="B13" s="25" t="inlineStr">
        <is>
          <t>Ene-26</t>
        </is>
      </c>
      <c r="C13" s="25" t="inlineStr">
        <is>
          <t>Contador</t>
        </is>
      </c>
      <c r="D13" s="25" t="inlineStr">
        <is>
          <t>Honorario contador mensual</t>
        </is>
      </c>
      <c r="E13" s="63" t="n">
        <v>40000</v>
      </c>
      <c r="F13" s="25" t="inlineStr">
        <is>
          <t>✓ Pagado</t>
        </is>
      </c>
    </row>
    <row r="14" ht="15" customHeight="1" s="94">
      <c r="A14" s="16" t="n">
        <v>46053</v>
      </c>
      <c r="B14" s="14" t="inlineStr">
        <is>
          <t>Ene-26</t>
        </is>
      </c>
      <c r="C14" s="14" t="inlineStr">
        <is>
          <t>IVA SII</t>
        </is>
      </c>
      <c r="D14" s="14" t="inlineStr">
        <is>
          <t>IVA 19% sobre gan. bruta</t>
        </is>
      </c>
      <c r="E14" s="64" t="n">
        <v>158260</v>
      </c>
      <c r="F14" s="14" t="inlineStr">
        <is>
          <t>✓ Pagado</t>
        </is>
      </c>
    </row>
    <row r="15" ht="15" customHeight="1" s="94">
      <c r="A15" s="27" t="n">
        <v>46081</v>
      </c>
      <c r="B15" s="25" t="inlineStr">
        <is>
          <t>Feb-26</t>
        </is>
      </c>
      <c r="C15" s="25" t="inlineStr">
        <is>
          <t>Contador</t>
        </is>
      </c>
      <c r="D15" s="25" t="inlineStr">
        <is>
          <t>Honorario contador mensual</t>
        </is>
      </c>
      <c r="E15" s="63" t="n">
        <v>40000</v>
      </c>
      <c r="F15" s="25" t="inlineStr">
        <is>
          <t>✓ Pagado</t>
        </is>
      </c>
    </row>
    <row r="16" ht="15" customHeight="1" s="94">
      <c r="A16" s="16" t="n">
        <v>46081</v>
      </c>
      <c r="B16" s="14" t="inlineStr">
        <is>
          <t>Feb-26</t>
        </is>
      </c>
      <c r="C16" s="14" t="inlineStr">
        <is>
          <t>IVA SII</t>
        </is>
      </c>
      <c r="D16" s="14" t="inlineStr">
        <is>
          <t>IVA 19% sobre gan. bruta</t>
        </is>
      </c>
      <c r="E16" s="64" t="n">
        <v>121882</v>
      </c>
      <c r="F16" s="14" t="inlineStr">
        <is>
          <t>✓ Pagado</t>
        </is>
      </c>
    </row>
    <row r="17" ht="15" customHeight="1" s="94">
      <c r="A17" s="27" t="n">
        <v>46102</v>
      </c>
      <c r="B17" s="25" t="inlineStr">
        <is>
          <t>Mar-26</t>
        </is>
      </c>
      <c r="C17" s="25" t="inlineStr">
        <is>
          <t>Contador</t>
        </is>
      </c>
      <c r="D17" s="25" t="inlineStr">
        <is>
          <t>Honorario contador mensual</t>
        </is>
      </c>
      <c r="E17" s="63" t="n">
        <v>40000</v>
      </c>
      <c r="F17" s="25" t="inlineStr">
        <is>
          <t>✓ Pagado</t>
        </is>
      </c>
    </row>
    <row r="18" ht="15" customHeight="1" s="94">
      <c r="A18" s="16" t="n">
        <v>46102</v>
      </c>
      <c r="B18" s="14" t="inlineStr">
        <is>
          <t>Mar-26</t>
        </is>
      </c>
      <c r="C18" s="14" t="inlineStr">
        <is>
          <t>IVA SII</t>
        </is>
      </c>
      <c r="D18" s="14" t="inlineStr">
        <is>
          <t>IVA 19% sobre gan. bruta</t>
        </is>
      </c>
      <c r="E18" s="64" t="n">
        <v>76203</v>
      </c>
      <c r="F18" s="14" t="inlineStr">
        <is>
          <t>✓ Pagado</t>
        </is>
      </c>
    </row>
    <row r="19" ht="15.75" customHeight="1" s="94">
      <c r="A19" s="27" t="n"/>
      <c r="B19" s="25" t="n"/>
      <c r="C19" s="25" t="n"/>
      <c r="D19" s="25" t="n"/>
      <c r="E19" s="28" t="n"/>
      <c r="F19" s="25" t="n"/>
    </row>
    <row r="20" ht="15.75" customHeight="1" s="94">
      <c r="A20" s="16" t="n"/>
      <c r="B20" s="14" t="n"/>
      <c r="C20" s="14" t="n"/>
      <c r="D20" s="14" t="n"/>
      <c r="E20" s="17" t="n"/>
      <c r="F20" s="14" t="n"/>
    </row>
    <row r="21" ht="15.75" customHeight="1" s="94">
      <c r="A21" s="27" t="n"/>
      <c r="B21" s="25" t="n"/>
      <c r="C21" s="25" t="n"/>
      <c r="D21" s="25" t="n"/>
      <c r="E21" s="28" t="n"/>
      <c r="F21" s="25" t="n"/>
    </row>
    <row r="22" ht="15.75" customHeight="1" s="94">
      <c r="A22" s="16" t="n"/>
      <c r="B22" s="14" t="n"/>
      <c r="C22" s="14" t="n"/>
      <c r="D22" s="14" t="n"/>
      <c r="E22" s="17" t="n"/>
      <c r="F22" s="14" t="n"/>
    </row>
    <row r="23" ht="15.75" customHeight="1" s="94">
      <c r="A23" s="27" t="n"/>
      <c r="B23" s="25" t="n"/>
      <c r="C23" s="25" t="n"/>
      <c r="D23" s="25" t="n"/>
      <c r="E23" s="28" t="n"/>
      <c r="F23" s="25" t="n"/>
    </row>
    <row r="24" ht="15.75" customHeight="1" s="94">
      <c r="A24" s="16" t="n"/>
      <c r="B24" s="14" t="n"/>
      <c r="C24" s="14" t="n"/>
      <c r="D24" s="14" t="n"/>
      <c r="E24" s="17" t="n"/>
      <c r="F24" s="14" t="n"/>
    </row>
    <row r="25" ht="15.75" customHeight="1" s="94">
      <c r="A25" s="27" t="n"/>
      <c r="B25" s="25" t="n"/>
      <c r="C25" s="25" t="n"/>
      <c r="D25" s="25" t="n"/>
      <c r="E25" s="28" t="n"/>
      <c r="F25" s="25" t="n"/>
    </row>
    <row r="26" ht="15.75" customHeight="1" s="94">
      <c r="A26" s="16" t="n"/>
      <c r="B26" s="14" t="n"/>
      <c r="C26" s="14" t="n"/>
      <c r="D26" s="14" t="n"/>
      <c r="E26" s="17" t="n"/>
      <c r="F26" s="14" t="n"/>
    </row>
    <row r="27" ht="15.75" customHeight="1" s="94">
      <c r="A27" s="27" t="n"/>
      <c r="B27" s="25" t="n"/>
      <c r="C27" s="25" t="n"/>
      <c r="D27" s="25" t="n"/>
      <c r="E27" s="28" t="n"/>
      <c r="F27" s="25" t="n"/>
    </row>
    <row r="28" ht="15.75" customHeight="1" s="94">
      <c r="A28" s="16" t="n"/>
      <c r="B28" s="14" t="n"/>
      <c r="C28" s="14" t="n"/>
      <c r="D28" s="14" t="n"/>
      <c r="E28" s="17" t="n"/>
      <c r="F28" s="14" t="n"/>
    </row>
    <row r="29" ht="15.75" customHeight="1" s="94">
      <c r="A29" s="27" t="n"/>
      <c r="B29" s="25" t="n"/>
      <c r="C29" s="25" t="n"/>
      <c r="D29" s="25" t="n"/>
      <c r="E29" s="28" t="n"/>
      <c r="F29" s="25" t="n"/>
    </row>
    <row r="30" ht="15.75" customHeight="1" s="94">
      <c r="A30" s="16" t="n"/>
      <c r="B30" s="14" t="n"/>
      <c r="C30" s="14" t="n"/>
      <c r="D30" s="14" t="n"/>
      <c r="E30" s="17" t="n"/>
      <c r="F30" s="14" t="n"/>
    </row>
    <row r="31" ht="15.75" customHeight="1" s="94">
      <c r="A31" s="27" t="n"/>
      <c r="B31" s="25" t="n"/>
      <c r="C31" s="25" t="n"/>
      <c r="D31" s="25" t="n"/>
      <c r="E31" s="28" t="n"/>
      <c r="F31" s="25" t="n"/>
    </row>
    <row r="32" ht="15.75" customHeight="1" s="94">
      <c r="A32" s="16" t="n"/>
      <c r="B32" s="14" t="n"/>
      <c r="C32" s="14" t="n"/>
      <c r="D32" s="14" t="n"/>
      <c r="E32" s="17" t="n"/>
      <c r="F32" s="14" t="n"/>
    </row>
    <row r="33" ht="15.75" customHeight="1" s="94">
      <c r="A33" s="27" t="n"/>
      <c r="B33" s="25" t="n"/>
      <c r="C33" s="25" t="n"/>
      <c r="D33" s="25" t="n"/>
      <c r="E33" s="28" t="n"/>
      <c r="F33" s="25" t="n"/>
    </row>
    <row r="34" ht="15.75" customHeight="1" s="94">
      <c r="A34" s="16" t="n"/>
      <c r="B34" s="14" t="n"/>
      <c r="C34" s="14" t="n"/>
      <c r="D34" s="14" t="n"/>
      <c r="E34" s="17" t="n"/>
      <c r="F34" s="14" t="n"/>
    </row>
    <row r="35" ht="15.75" customHeight="1" s="94">
      <c r="A35" s="27" t="n"/>
      <c r="B35" s="25" t="n"/>
      <c r="C35" s="25" t="n"/>
      <c r="D35" s="25" t="n"/>
      <c r="E35" s="28" t="n"/>
      <c r="F35" s="25" t="n"/>
    </row>
    <row r="36" ht="15.75" customHeight="1" s="94">
      <c r="A36" s="16" t="n"/>
      <c r="B36" s="14" t="n"/>
      <c r="C36" s="14" t="n"/>
      <c r="D36" s="14" t="n"/>
      <c r="E36" s="17" t="n"/>
      <c r="F36" s="14" t="n"/>
    </row>
    <row r="37" ht="15.75" customHeight="1" s="94">
      <c r="A37" s="27" t="n"/>
      <c r="B37" s="25" t="n"/>
      <c r="C37" s="25" t="n"/>
      <c r="D37" s="25" t="n"/>
      <c r="E37" s="28" t="n"/>
      <c r="F37" s="25" t="n"/>
    </row>
    <row r="38" ht="15.75" customHeight="1" s="94">
      <c r="A38" s="16" t="n"/>
      <c r="B38" s="14" t="n"/>
      <c r="C38" s="14" t="n"/>
      <c r="D38" s="14" t="n"/>
      <c r="E38" s="17" t="n"/>
      <c r="F38" s="14" t="n"/>
    </row>
    <row r="39" ht="15.75" customHeight="1" s="94">
      <c r="A39" s="27" t="n"/>
      <c r="B39" s="25" t="n"/>
      <c r="C39" s="25" t="n"/>
      <c r="D39" s="25" t="n"/>
      <c r="E39" s="28" t="n"/>
      <c r="F39" s="25" t="n"/>
    </row>
    <row r="40" ht="15.75" customHeight="1" s="94">
      <c r="A40" s="16" t="n"/>
      <c r="B40" s="14" t="n"/>
      <c r="C40" s="14" t="n"/>
      <c r="D40" s="14" t="n"/>
      <c r="E40" s="17" t="n"/>
      <c r="F40" s="14" t="n"/>
    </row>
    <row r="41" ht="15.75" customHeight="1" s="94">
      <c r="A41" s="27" t="n"/>
      <c r="B41" s="25" t="n"/>
      <c r="C41" s="25" t="n"/>
      <c r="D41" s="25" t="n"/>
      <c r="E41" s="28" t="n"/>
      <c r="F41" s="25" t="n"/>
    </row>
    <row r="42" ht="15.75" customHeight="1" s="94">
      <c r="A42" s="16" t="n"/>
      <c r="B42" s="14" t="n"/>
      <c r="C42" s="14" t="n"/>
      <c r="D42" s="14" t="n"/>
      <c r="E42" s="17" t="n"/>
      <c r="F42" s="14" t="n"/>
    </row>
    <row r="43" ht="15.75" customHeight="1" s="94">
      <c r="A43" s="27" t="n"/>
      <c r="B43" s="25" t="n"/>
      <c r="C43" s="25" t="n"/>
      <c r="D43" s="25" t="n"/>
      <c r="E43" s="28" t="n"/>
      <c r="F43" s="25" t="n"/>
    </row>
    <row r="44" ht="15.75" customHeight="1" s="94">
      <c r="A44" s="16" t="n"/>
      <c r="B44" s="14" t="n"/>
      <c r="C44" s="14" t="n"/>
      <c r="D44" s="14" t="n"/>
      <c r="E44" s="17" t="n"/>
      <c r="F44" s="14" t="n"/>
    </row>
    <row r="45" ht="15.75" customHeight="1" s="94">
      <c r="A45" s="27" t="n"/>
      <c r="B45" s="25" t="n"/>
      <c r="C45" s="25" t="n"/>
      <c r="D45" s="25" t="n"/>
      <c r="E45" s="28" t="n"/>
      <c r="F45" s="25" t="n"/>
    </row>
    <row r="46" ht="15.75" customHeight="1" s="94">
      <c r="A46" s="16" t="n"/>
      <c r="B46" s="14" t="n"/>
      <c r="C46" s="14" t="n"/>
      <c r="D46" s="14" t="n"/>
      <c r="E46" s="17" t="n"/>
      <c r="F46" s="14" t="n"/>
    </row>
    <row r="47" ht="15.75" customHeight="1" s="94">
      <c r="A47" s="27" t="n"/>
      <c r="B47" s="25" t="n"/>
      <c r="C47" s="25" t="n"/>
      <c r="D47" s="25" t="n"/>
      <c r="E47" s="28" t="n"/>
      <c r="F47" s="25" t="n"/>
    </row>
    <row r="48" ht="15.75" customHeight="1" s="94">
      <c r="A48" s="16" t="n"/>
      <c r="B48" s="14" t="n"/>
      <c r="C48" s="14" t="n"/>
      <c r="D48" s="14" t="n"/>
      <c r="E48" s="17" t="n"/>
      <c r="F48" s="14" t="n"/>
    </row>
    <row r="49" ht="15.75" customHeight="1" s="94">
      <c r="A49" s="27" t="n"/>
      <c r="B49" s="25" t="n"/>
      <c r="C49" s="25" t="n"/>
      <c r="D49" s="25" t="n"/>
      <c r="E49" s="28" t="n"/>
      <c r="F49" s="25" t="n"/>
    </row>
    <row r="50" ht="15.75" customHeight="1" s="94">
      <c r="A50" s="16" t="n"/>
      <c r="B50" s="14" t="n"/>
      <c r="C50" s="14" t="n"/>
      <c r="D50" s="14" t="n"/>
      <c r="E50" s="17" t="n"/>
      <c r="F50" s="14" t="n"/>
    </row>
    <row r="51" ht="15.75" customHeight="1" s="94">
      <c r="A51" s="27" t="n"/>
      <c r="B51" s="25" t="n"/>
      <c r="C51" s="25" t="n"/>
      <c r="D51" s="25" t="n"/>
      <c r="E51" s="28" t="n"/>
      <c r="F51" s="25" t="n"/>
    </row>
    <row r="52" ht="15.75" customHeight="1" s="94">
      <c r="A52" s="16" t="n"/>
      <c r="B52" s="14" t="n"/>
      <c r="C52" s="14" t="n"/>
      <c r="D52" s="14" t="n"/>
      <c r="E52" s="17" t="n"/>
      <c r="F52" s="14" t="n"/>
    </row>
    <row r="53" ht="15.75" customHeight="1" s="94">
      <c r="A53" s="27" t="n"/>
      <c r="B53" s="25" t="n"/>
      <c r="C53" s="25" t="n"/>
      <c r="D53" s="25" t="n"/>
      <c r="E53" s="28" t="n"/>
      <c r="F53" s="25" t="n"/>
    </row>
    <row r="54" ht="15.75" customHeight="1" s="94">
      <c r="A54" s="16" t="n"/>
      <c r="B54" s="14" t="n"/>
      <c r="C54" s="14" t="n"/>
      <c r="D54" s="14" t="n"/>
      <c r="E54" s="17" t="n"/>
      <c r="F54" s="14" t="n"/>
    </row>
    <row r="55" ht="15.75" customHeight="1" s="94">
      <c r="A55" s="27" t="n"/>
      <c r="B55" s="25" t="n"/>
      <c r="C55" s="25" t="n"/>
      <c r="D55" s="25" t="n"/>
      <c r="E55" s="28" t="n"/>
      <c r="F55" s="25" t="n"/>
    </row>
    <row r="56" ht="15.75" customHeight="1" s="94">
      <c r="A56" s="16" t="n"/>
      <c r="B56" s="14" t="n"/>
      <c r="C56" s="14" t="n"/>
      <c r="D56" s="14" t="n"/>
      <c r="E56" s="17" t="n"/>
      <c r="F56" s="14" t="n"/>
    </row>
    <row r="57" ht="15.75" customHeight="1" s="94">
      <c r="A57" s="27" t="n"/>
      <c r="B57" s="25" t="n"/>
      <c r="C57" s="25" t="n"/>
      <c r="D57" s="25" t="n"/>
      <c r="E57" s="28" t="n"/>
      <c r="F57" s="25" t="n"/>
    </row>
    <row r="58" ht="15.75" customHeight="1" s="94">
      <c r="A58" s="16" t="n"/>
      <c r="B58" s="14" t="n"/>
      <c r="C58" s="14" t="n"/>
      <c r="D58" s="14" t="n"/>
      <c r="E58" s="17" t="n"/>
      <c r="F58" s="14" t="n"/>
    </row>
    <row r="61" ht="21.75" customHeight="1" s="94">
      <c r="A61" s="95" t="inlineStr">
        <is>
          <t>TOTAL GASTOS</t>
        </is>
      </c>
      <c r="E61" s="13">
        <f>SUM(E3:E59)</f>
        <v/>
      </c>
    </row>
    <row r="63" ht="15" customHeight="1" s="94">
      <c r="A63" s="97" t="inlineStr">
        <is>
          <t>Desglose por Categoría</t>
        </is>
      </c>
    </row>
    <row r="64" ht="15" customHeight="1" s="94">
      <c r="A64" s="65" t="inlineStr">
        <is>
          <t>Contador</t>
        </is>
      </c>
      <c r="E64" s="66">
        <f>SUMIF(C3:C59,"Contador",E3:E59)</f>
        <v/>
      </c>
    </row>
    <row r="65" ht="15" customHeight="1" s="94">
      <c r="A65" s="65" t="inlineStr">
        <is>
          <t>IVA SII</t>
        </is>
      </c>
      <c r="E65" s="66">
        <f>SUMIF(C3:C59,"IVA SII",E3:E59)</f>
        <v/>
      </c>
    </row>
    <row r="66" ht="15" customHeight="1" s="94">
      <c r="A66" s="65" t="inlineStr">
        <is>
          <t>Arriendo</t>
        </is>
      </c>
      <c r="E66" s="66">
        <f>SUMIF(C3:C59,"Arriendo",E3:E59)</f>
        <v/>
      </c>
    </row>
    <row r="67" ht="15" customHeight="1" s="94">
      <c r="A67" s="65" t="inlineStr">
        <is>
          <t>Publicidad</t>
        </is>
      </c>
      <c r="E67" s="66">
        <f>SUMIF(C3:C59,"Publicidad",E3:E59)</f>
        <v/>
      </c>
    </row>
    <row r="68" ht="15" customHeight="1" s="94">
      <c r="A68" s="65" t="inlineStr">
        <is>
          <t>Tecnología</t>
        </is>
      </c>
      <c r="E68" s="66">
        <f>SUMIF(C3:C59,"Tecnología",E3:E59)</f>
        <v/>
      </c>
    </row>
    <row r="69" ht="15" customHeight="1" s="94">
      <c r="A69" s="65" t="inlineStr">
        <is>
          <t>Bancario</t>
        </is>
      </c>
      <c r="E69" s="66">
        <f>SUMIF(C3:C59,"Bancario",E3:E59)</f>
        <v/>
      </c>
    </row>
    <row r="70" ht="15" customHeight="1" s="94">
      <c r="A70" s="65" t="inlineStr">
        <is>
          <t>Varios</t>
        </is>
      </c>
      <c r="E70" s="66">
        <f>SUMIF(C3:C59,"Varios",E3:E59)</f>
        <v/>
      </c>
    </row>
  </sheetData>
  <mergeCells count="3">
    <mergeCell ref="A1:F1"/>
    <mergeCell ref="A61:D61"/>
    <mergeCell ref="A63:D63"/>
  </mergeCells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zoomScaleNormal="100" workbookViewId="0">
      <selection activeCell="A1" sqref="A1"/>
    </sheetView>
  </sheetViews>
  <sheetFormatPr baseColWidth="10" defaultColWidth="8.6640625" defaultRowHeight="14.25"/>
  <cols>
    <col width="22" customWidth="1" style="94" min="1" max="1"/>
    <col width="16" customWidth="1" style="94" min="2" max="2"/>
    <col width="30" customWidth="1" style="94" min="3" max="3"/>
  </cols>
  <sheetData>
    <row r="1" ht="15.75" customHeight="1" s="94">
      <c r="A1" s="96" t="inlineStr">
        <is>
          <t>⚙ CONFIGURACIÓN — IREMI REMESAS</t>
        </is>
      </c>
    </row>
    <row r="2" ht="15" customHeight="1" s="94">
      <c r="A2" s="98" t="inlineStr">
        <is>
          <t>TASAS DE MERCADO</t>
        </is>
      </c>
    </row>
    <row r="3" ht="15" customHeight="1" s="94">
      <c r="A3" s="67" t="inlineStr">
        <is>
          <t>USDT/CLP</t>
        </is>
      </c>
      <c r="B3" s="68" t="n">
        <v>914</v>
      </c>
      <c r="C3" s="69" t="inlineStr">
        <is>
          <t>Manual — actualizar cada día</t>
        </is>
      </c>
    </row>
    <row r="4" ht="15" customHeight="1" s="94">
      <c r="A4" s="67" t="inlineStr">
        <is>
          <t>USDT/VES P2P</t>
        </is>
      </c>
      <c r="B4" s="68" t="n">
        <v>625</v>
      </c>
      <c r="C4" s="69" t="inlineStr">
        <is>
          <t>Bybit/Binance P2P</t>
        </is>
      </c>
    </row>
    <row r="5" ht="15" customHeight="1" s="94">
      <c r="A5" s="67" t="inlineStr">
        <is>
          <t>USDT/COP</t>
        </is>
      </c>
      <c r="B5" s="68" t="n">
        <v>4100</v>
      </c>
      <c r="C5" s="69" t="inlineStr">
        <is>
          <t>Binance bookTicker</t>
        </is>
      </c>
    </row>
    <row r="6" ht="15" customHeight="1" s="94">
      <c r="A6" s="67" t="inlineStr">
        <is>
          <t>USDT/PEN</t>
        </is>
      </c>
      <c r="B6" s="70" t="n">
        <v>3.76</v>
      </c>
      <c r="C6" s="69" t="n"/>
    </row>
    <row r="7" ht="15" customHeight="1" s="94">
      <c r="A7" s="67" t="inlineStr">
        <is>
          <t>USDT/ARS</t>
        </is>
      </c>
      <c r="B7" s="68" t="n">
        <v>1180</v>
      </c>
      <c r="C7" s="69" t="n"/>
    </row>
    <row r="8" ht="15" customHeight="1" s="94">
      <c r="A8" s="67" t="inlineStr">
        <is>
          <t>USDT/EUR</t>
        </is>
      </c>
      <c r="B8" s="70" t="n">
        <v>0.92</v>
      </c>
      <c r="C8" s="69" t="n"/>
    </row>
    <row r="9" ht="15" customHeight="1" s="94">
      <c r="A9" s="67" t="inlineStr">
        <is>
          <t>USDT/MXN</t>
        </is>
      </c>
      <c r="B9" s="70" t="n">
        <v>17.2</v>
      </c>
      <c r="C9" s="69" t="n"/>
    </row>
    <row r="10" ht="15" customHeight="1" s="94">
      <c r="A10" s="67" t="inlineStr">
        <is>
          <t>USDT/DOP</t>
        </is>
      </c>
      <c r="B10" s="70" t="n">
        <v>60.5</v>
      </c>
      <c r="C10" s="69" t="n"/>
    </row>
    <row r="11" ht="15" customHeight="1" s="94">
      <c r="A11" s="67" t="inlineStr">
        <is>
          <t>USDT/BOB</t>
        </is>
      </c>
      <c r="B11" s="70" t="n">
        <v>6.92</v>
      </c>
      <c r="C11" s="69" t="n"/>
    </row>
    <row r="12" ht="15" customHeight="1" s="94">
      <c r="A12" s="67" t="inlineStr">
        <is>
          <t>USDT/USD</t>
        </is>
      </c>
      <c r="B12" s="70" t="n">
        <v>1</v>
      </c>
      <c r="C12" s="69" t="n"/>
    </row>
    <row r="13" ht="15" customHeight="1" s="94">
      <c r="A13" s="1" t="n"/>
      <c r="B13" s="1" t="n"/>
      <c r="C13" s="69" t="n"/>
    </row>
    <row r="14" ht="15" customHeight="1" s="94">
      <c r="A14" s="98" t="inlineStr">
        <is>
          <t>PARÁMETROS</t>
        </is>
      </c>
    </row>
    <row r="15" ht="15" customHeight="1" s="94">
      <c r="A15" s="67" t="inlineStr">
        <is>
          <t>Margen IREMI %</t>
        </is>
      </c>
      <c r="B15" s="70" t="n">
        <v>0.055</v>
      </c>
      <c r="C15" s="69" t="inlineStr">
        <is>
          <t>5.5%</t>
        </is>
      </c>
    </row>
    <row r="16" ht="15" customHeight="1" s="94">
      <c r="A16" s="67" t="inlineStr">
        <is>
          <t>Tax Binance</t>
        </is>
      </c>
      <c r="B16" s="70" t="n">
        <v>-0.06</v>
      </c>
      <c r="C16" s="69" t="inlineStr">
        <is>
          <t>Comisión por operación</t>
        </is>
      </c>
    </row>
    <row r="17" ht="15" customHeight="1" s="94">
      <c r="A17" s="67" t="inlineStr">
        <is>
          <t>Costo Contador</t>
        </is>
      </c>
      <c r="B17" s="68" t="n">
        <v>40000</v>
      </c>
      <c r="C17" s="69" t="inlineStr">
        <is>
          <t>Mensual sin IVA</t>
        </is>
      </c>
    </row>
    <row r="18" ht="15" customHeight="1" s="94">
      <c r="A18" s="67" t="inlineStr">
        <is>
          <t>IVA %</t>
        </is>
      </c>
      <c r="B18" s="70" t="n">
        <v>0.19</v>
      </c>
      <c r="C18" s="69" t="inlineStr">
        <is>
          <t>19%</t>
        </is>
      </c>
    </row>
    <row r="19" ht="15" customHeight="1" s="94">
      <c r="A19" s="1" t="n"/>
      <c r="B19" s="1" t="n"/>
      <c r="C19" s="69" t="n"/>
    </row>
    <row r="20" ht="15" customHeight="1" s="94">
      <c r="A20" s="98" t="inlineStr">
        <is>
          <t>TASAS FLYER</t>
        </is>
      </c>
    </row>
    <row r="21" ht="15" customHeight="1" s="94">
      <c r="A21" s="67" t="inlineStr">
        <is>
          <t>VES/1000 CLP</t>
        </is>
      </c>
      <c r="B21" s="71">
        <f>ROUND((B4/B3)*(1-B15)*1000,0)</f>
        <v/>
      </c>
      <c r="C21" s="69" t="inlineStr">
        <is>
          <t>Bs por CLP 1.000</t>
        </is>
      </c>
    </row>
    <row r="22" ht="15" customHeight="1" s="94">
      <c r="A22" s="67" t="inlineStr">
        <is>
          <t>COP/CLP</t>
        </is>
      </c>
      <c r="B22" s="71">
        <f>(B5/B3)*(1-B15)</f>
        <v/>
      </c>
      <c r="C22" s="69" t="n"/>
    </row>
    <row r="23" ht="15" customHeight="1" s="94">
      <c r="A23" s="67" t="inlineStr">
        <is>
          <t>PEN/CLP</t>
        </is>
      </c>
      <c r="B23" s="71">
        <f>(B6/B3)*(1-B15)</f>
        <v/>
      </c>
      <c r="C23" s="69" t="n"/>
    </row>
    <row r="24" ht="15" customHeight="1" s="94">
      <c r="A24" s="67" t="inlineStr">
        <is>
          <t>ARS/CLP</t>
        </is>
      </c>
      <c r="B24" s="71">
        <f>(B7/B3)*(1-B15)</f>
        <v/>
      </c>
      <c r="C24" s="69" t="n"/>
    </row>
    <row r="25" ht="15" customHeight="1" s="94">
      <c r="A25" s="67" t="inlineStr">
        <is>
          <t>EUR/CLP</t>
        </is>
      </c>
      <c r="B25" s="71">
        <f>(B8/B3)*(1-B15)</f>
        <v/>
      </c>
      <c r="C25" s="69" t="n"/>
    </row>
    <row r="26" ht="15" customHeight="1" s="94">
      <c r="A26" s="67" t="inlineStr">
        <is>
          <t>MXN/CLP</t>
        </is>
      </c>
      <c r="B26" s="71">
        <f>(B9/B3)*(1-B15)</f>
        <v/>
      </c>
      <c r="C26" s="69" t="n"/>
    </row>
    <row r="27" ht="15" customHeight="1" s="94">
      <c r="A27" s="1" t="n"/>
      <c r="B27" s="1" t="n"/>
      <c r="C27" s="1" t="n"/>
    </row>
    <row r="28" ht="15" customHeight="1" s="94">
      <c r="A28" s="1" t="n"/>
      <c r="B28" s="1" t="n"/>
      <c r="C28" s="1" t="n"/>
    </row>
    <row r="29" ht="15" customHeight="1" s="94">
      <c r="A29" s="1" t="n"/>
      <c r="B29" s="1" t="n"/>
      <c r="C29" s="1" t="n"/>
    </row>
    <row r="30" ht="15" customHeight="1" s="94">
      <c r="A30" s="1" t="n"/>
      <c r="B30" s="1" t="n"/>
      <c r="C30" s="1" t="n"/>
    </row>
    <row r="31" ht="15" customHeight="1" s="94">
      <c r="A31" s="1" t="n"/>
      <c r="B31" s="1" t="n"/>
      <c r="C31" s="1" t="n"/>
    </row>
  </sheetData>
  <mergeCells count="4">
    <mergeCell ref="A1:C1"/>
    <mergeCell ref="A20:C20"/>
    <mergeCell ref="A14:C14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2026-03-22T15:14:03Z</dcterms:created>
  <dcterms:modified xsi:type="dcterms:W3CDTF">2026-03-22T20:08:37Z</dcterms:modified>
  <cp:lastModifiedBy>Julio César Alvarado Rojas</cp:lastModifiedBy>
  <cp:revision>0</cp:revision>
</cp:coreProperties>
</file>